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em.banni_square-ma\Downloads\"/>
    </mc:Choice>
  </mc:AlternateContent>
  <xr:revisionPtr revIDLastSave="0" documentId="13_ncr:1_{7DE7E73B-5570-4884-9E9C-D322D6C93F2B}" xr6:coauthVersionLast="47" xr6:coauthVersionMax="47" xr10:uidLastSave="{00000000-0000-0000-0000-000000000000}"/>
  <bookViews>
    <workbookView xWindow="-110" yWindow="-110" windowWidth="19420" windowHeight="10300" xr2:uid="{00000000-000D-0000-FFFF-FFFF00000000}"/>
  </bookViews>
  <sheets>
    <sheet name="rexs IA" sheetId="1" r:id="rId1"/>
    <sheet name="Méthodo Indice IA" sheetId="2" r:id="rId2"/>
  </sheets>
  <definedNames>
    <definedName name="_xlnm._FilterDatabase" localSheetId="0" hidden="1">'rexs IA'!$A$1:$X$106</definedName>
    <definedName name="DonnéesExternes_1" localSheetId="0">'rexs IA'!$A$1:$K$106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PvmFBrDpElibmpqvG6k2ug67Ztf4+ub8g9IttsMK8Ls="/>
    </ext>
  </extLst>
</workbook>
</file>

<file path=xl/calcChain.xml><?xml version="1.0" encoding="utf-8"?>
<calcChain xmlns="http://schemas.openxmlformats.org/spreadsheetml/2006/main">
  <c r="R106" i="1" l="1"/>
  <c r="Q106" i="1"/>
  <c r="O106" i="1"/>
  <c r="N106" i="1"/>
  <c r="M106" i="1" a="1"/>
  <c r="M106" i="1" s="1"/>
  <c r="R105" i="1"/>
  <c r="Q105" i="1"/>
  <c r="O105" i="1"/>
  <c r="N105" i="1"/>
  <c r="M105" i="1" a="1"/>
  <c r="M105" i="1" s="1"/>
  <c r="R104" i="1"/>
  <c r="Q104" i="1"/>
  <c r="O104" i="1"/>
  <c r="N104" i="1"/>
  <c r="M104" i="1" a="1"/>
  <c r="M104" i="1" s="1"/>
  <c r="R103" i="1"/>
  <c r="Q103" i="1"/>
  <c r="O103" i="1"/>
  <c r="N103" i="1"/>
  <c r="M103" i="1" a="1"/>
  <c r="M103" i="1" s="1"/>
  <c r="R102" i="1"/>
  <c r="Q102" i="1"/>
  <c r="O102" i="1"/>
  <c r="N102" i="1"/>
  <c r="M102" i="1" a="1"/>
  <c r="M102" i="1" s="1"/>
  <c r="R101" i="1"/>
  <c r="Q101" i="1"/>
  <c r="O101" i="1"/>
  <c r="N101" i="1"/>
  <c r="M101" i="1" a="1"/>
  <c r="M101" i="1" s="1"/>
  <c r="R100" i="1"/>
  <c r="Q100" i="1"/>
  <c r="O100" i="1"/>
  <c r="N100" i="1"/>
  <c r="M100" i="1" a="1"/>
  <c r="M100" i="1" s="1"/>
  <c r="R99" i="1"/>
  <c r="Q99" i="1"/>
  <c r="O99" i="1"/>
  <c r="N99" i="1"/>
  <c r="M99" i="1" a="1"/>
  <c r="M99" i="1" s="1"/>
  <c r="R98" i="1"/>
  <c r="Q98" i="1"/>
  <c r="O98" i="1"/>
  <c r="N98" i="1"/>
  <c r="M98" i="1" a="1"/>
  <c r="M98" i="1" s="1"/>
  <c r="R97" i="1"/>
  <c r="Q97" i="1"/>
  <c r="O97" i="1"/>
  <c r="N97" i="1"/>
  <c r="M97" i="1" a="1"/>
  <c r="M97" i="1" s="1"/>
  <c r="R96" i="1"/>
  <c r="Q96" i="1"/>
  <c r="O96" i="1"/>
  <c r="N96" i="1"/>
  <c r="M96" i="1" a="1"/>
  <c r="M96" i="1" s="1"/>
  <c r="R95" i="1"/>
  <c r="Q95" i="1"/>
  <c r="O95" i="1"/>
  <c r="N95" i="1"/>
  <c r="M95" i="1" a="1"/>
  <c r="M95" i="1" s="1"/>
  <c r="R94" i="1"/>
  <c r="Q94" i="1"/>
  <c r="O94" i="1"/>
  <c r="N94" i="1"/>
  <c r="M94" i="1" a="1"/>
  <c r="M94" i="1" s="1"/>
  <c r="R93" i="1"/>
  <c r="Q93" i="1"/>
  <c r="O93" i="1"/>
  <c r="N93" i="1"/>
  <c r="M93" i="1" a="1"/>
  <c r="M93" i="1" s="1"/>
  <c r="R92" i="1"/>
  <c r="Q92" i="1"/>
  <c r="O92" i="1"/>
  <c r="N92" i="1"/>
  <c r="M92" i="1" a="1"/>
  <c r="M92" i="1" s="1"/>
  <c r="R91" i="1"/>
  <c r="Q91" i="1"/>
  <c r="O91" i="1"/>
  <c r="N91" i="1"/>
  <c r="M91" i="1" a="1"/>
  <c r="M91" i="1" s="1"/>
  <c r="R90" i="1"/>
  <c r="Q90" i="1"/>
  <c r="O90" i="1"/>
  <c r="N90" i="1"/>
  <c r="M90" i="1" a="1"/>
  <c r="M90" i="1" s="1"/>
  <c r="R89" i="1"/>
  <c r="Q89" i="1"/>
  <c r="O89" i="1"/>
  <c r="N89" i="1"/>
  <c r="M89" i="1" a="1"/>
  <c r="M89" i="1" s="1"/>
  <c r="R88" i="1"/>
  <c r="Q88" i="1"/>
  <c r="O88" i="1"/>
  <c r="N88" i="1"/>
  <c r="M88" i="1" a="1"/>
  <c r="M88" i="1" s="1"/>
  <c r="R87" i="1"/>
  <c r="Q87" i="1"/>
  <c r="O87" i="1"/>
  <c r="N87" i="1"/>
  <c r="M87" i="1" a="1"/>
  <c r="M87" i="1" s="1"/>
  <c r="R86" i="1"/>
  <c r="Q86" i="1"/>
  <c r="O86" i="1"/>
  <c r="N86" i="1"/>
  <c r="M86" i="1" a="1"/>
  <c r="M86" i="1" s="1"/>
  <c r="R85" i="1"/>
  <c r="Q85" i="1"/>
  <c r="O85" i="1"/>
  <c r="N85" i="1"/>
  <c r="M85" i="1" a="1"/>
  <c r="M85" i="1" s="1"/>
  <c r="R84" i="1"/>
  <c r="Q84" i="1"/>
  <c r="O84" i="1"/>
  <c r="N84" i="1"/>
  <c r="M84" i="1" a="1"/>
  <c r="M84" i="1" s="1"/>
  <c r="R83" i="1"/>
  <c r="Q83" i="1"/>
  <c r="O83" i="1"/>
  <c r="N83" i="1"/>
  <c r="M83" i="1" a="1"/>
  <c r="M83" i="1" s="1"/>
  <c r="R82" i="1"/>
  <c r="Q82" i="1"/>
  <c r="O82" i="1"/>
  <c r="N82" i="1"/>
  <c r="M82" i="1" a="1"/>
  <c r="M82" i="1" s="1"/>
  <c r="R81" i="1"/>
  <c r="Q81" i="1"/>
  <c r="O81" i="1"/>
  <c r="N81" i="1"/>
  <c r="M81" i="1" a="1"/>
  <c r="M81" i="1" s="1"/>
  <c r="R80" i="1"/>
  <c r="Q80" i="1"/>
  <c r="O80" i="1"/>
  <c r="N80" i="1"/>
  <c r="M80" i="1" a="1"/>
  <c r="M80" i="1" s="1"/>
  <c r="R79" i="1"/>
  <c r="Q79" i="1"/>
  <c r="O79" i="1"/>
  <c r="N79" i="1"/>
  <c r="M79" i="1" a="1"/>
  <c r="M79" i="1" s="1"/>
  <c r="R78" i="1"/>
  <c r="Q78" i="1"/>
  <c r="O78" i="1"/>
  <c r="N78" i="1"/>
  <c r="M78" i="1" a="1"/>
  <c r="M78" i="1" s="1"/>
  <c r="R77" i="1"/>
  <c r="Q77" i="1"/>
  <c r="O77" i="1"/>
  <c r="N77" i="1"/>
  <c r="M77" i="1" a="1"/>
  <c r="M77" i="1" s="1"/>
  <c r="R76" i="1"/>
  <c r="Q76" i="1"/>
  <c r="O76" i="1"/>
  <c r="N76" i="1"/>
  <c r="M76" i="1" a="1"/>
  <c r="M76" i="1" s="1"/>
  <c r="R75" i="1"/>
  <c r="Q75" i="1"/>
  <c r="O75" i="1"/>
  <c r="N75" i="1"/>
  <c r="M75" i="1" a="1"/>
  <c r="M75" i="1" s="1"/>
  <c r="R74" i="1"/>
  <c r="Q74" i="1"/>
  <c r="O74" i="1"/>
  <c r="N74" i="1"/>
  <c r="M74" i="1" a="1"/>
  <c r="M74" i="1" s="1"/>
  <c r="R73" i="1"/>
  <c r="Q73" i="1"/>
  <c r="O73" i="1"/>
  <c r="N73" i="1"/>
  <c r="M73" i="1" a="1"/>
  <c r="M73" i="1" s="1"/>
  <c r="R72" i="1"/>
  <c r="Q72" i="1"/>
  <c r="O72" i="1"/>
  <c r="N72" i="1"/>
  <c r="M72" i="1" a="1"/>
  <c r="M72" i="1" s="1"/>
  <c r="R71" i="1"/>
  <c r="Q71" i="1"/>
  <c r="O71" i="1"/>
  <c r="N71" i="1"/>
  <c r="M71" i="1" a="1"/>
  <c r="M71" i="1" s="1"/>
  <c r="R70" i="1"/>
  <c r="Q70" i="1"/>
  <c r="O70" i="1"/>
  <c r="N70" i="1"/>
  <c r="M70" i="1" a="1"/>
  <c r="M70" i="1" s="1"/>
  <c r="R69" i="1"/>
  <c r="Q69" i="1"/>
  <c r="O69" i="1"/>
  <c r="N69" i="1"/>
  <c r="M69" i="1" a="1"/>
  <c r="M69" i="1" s="1"/>
  <c r="R68" i="1"/>
  <c r="Q68" i="1"/>
  <c r="O68" i="1"/>
  <c r="N68" i="1"/>
  <c r="M68" i="1" a="1"/>
  <c r="M68" i="1" s="1"/>
  <c r="R67" i="1"/>
  <c r="Q67" i="1"/>
  <c r="O67" i="1"/>
  <c r="N67" i="1"/>
  <c r="M67" i="1" a="1"/>
  <c r="M67" i="1" s="1"/>
  <c r="R66" i="1"/>
  <c r="Q66" i="1"/>
  <c r="O66" i="1"/>
  <c r="N66" i="1"/>
  <c r="M66" i="1" a="1"/>
  <c r="M66" i="1" s="1"/>
  <c r="R65" i="1"/>
  <c r="Q65" i="1"/>
  <c r="O65" i="1"/>
  <c r="N65" i="1"/>
  <c r="M65" i="1" a="1"/>
  <c r="M65" i="1" s="1"/>
  <c r="R64" i="1"/>
  <c r="Q64" i="1"/>
  <c r="O64" i="1"/>
  <c r="N64" i="1"/>
  <c r="M64" i="1" a="1"/>
  <c r="M64" i="1" s="1"/>
  <c r="R63" i="1"/>
  <c r="Q63" i="1"/>
  <c r="O63" i="1"/>
  <c r="N63" i="1"/>
  <c r="M63" i="1" a="1"/>
  <c r="M63" i="1" s="1"/>
  <c r="R62" i="1"/>
  <c r="Q62" i="1"/>
  <c r="O62" i="1"/>
  <c r="N62" i="1"/>
  <c r="M62" i="1" a="1"/>
  <c r="M62" i="1" s="1"/>
  <c r="R61" i="1"/>
  <c r="Q61" i="1"/>
  <c r="O61" i="1"/>
  <c r="N61" i="1"/>
  <c r="M61" i="1" a="1"/>
  <c r="M61" i="1" s="1"/>
  <c r="R60" i="1"/>
  <c r="Q60" i="1"/>
  <c r="O60" i="1"/>
  <c r="N60" i="1"/>
  <c r="M60" i="1" a="1"/>
  <c r="M60" i="1" s="1"/>
  <c r="R59" i="1"/>
  <c r="Q59" i="1"/>
  <c r="O59" i="1"/>
  <c r="N59" i="1"/>
  <c r="M59" i="1" a="1"/>
  <c r="M59" i="1" s="1"/>
  <c r="R58" i="1"/>
  <c r="Q58" i="1"/>
  <c r="O58" i="1"/>
  <c r="N58" i="1"/>
  <c r="M58" i="1" a="1"/>
  <c r="M58" i="1" s="1"/>
  <c r="R57" i="1"/>
  <c r="Q57" i="1"/>
  <c r="O57" i="1"/>
  <c r="N57" i="1"/>
  <c r="M57" i="1" a="1"/>
  <c r="M57" i="1" s="1"/>
  <c r="R56" i="1"/>
  <c r="Q56" i="1"/>
  <c r="O56" i="1"/>
  <c r="N56" i="1"/>
  <c r="M56" i="1" a="1"/>
  <c r="M56" i="1" s="1"/>
  <c r="R55" i="1"/>
  <c r="Q55" i="1"/>
  <c r="O55" i="1"/>
  <c r="N55" i="1"/>
  <c r="M55" i="1" a="1"/>
  <c r="M55" i="1" s="1"/>
  <c r="R54" i="1"/>
  <c r="Q54" i="1"/>
  <c r="O54" i="1"/>
  <c r="N54" i="1"/>
  <c r="M54" i="1" a="1"/>
  <c r="M54" i="1" s="1"/>
  <c r="R53" i="1"/>
  <c r="Q53" i="1"/>
  <c r="O53" i="1"/>
  <c r="N53" i="1"/>
  <c r="M53" i="1" a="1"/>
  <c r="M53" i="1" s="1"/>
  <c r="R52" i="1"/>
  <c r="Q52" i="1"/>
  <c r="O52" i="1"/>
  <c r="N52" i="1"/>
  <c r="M52" i="1" a="1"/>
  <c r="M52" i="1" s="1"/>
  <c r="R51" i="1"/>
  <c r="Q51" i="1"/>
  <c r="O51" i="1"/>
  <c r="N51" i="1"/>
  <c r="M51" i="1" a="1"/>
  <c r="M51" i="1" s="1"/>
  <c r="R50" i="1"/>
  <c r="Q50" i="1"/>
  <c r="O50" i="1"/>
  <c r="N50" i="1"/>
  <c r="M50" i="1" a="1"/>
  <c r="M50" i="1" s="1"/>
  <c r="R49" i="1"/>
  <c r="Q49" i="1"/>
  <c r="O49" i="1"/>
  <c r="N49" i="1"/>
  <c r="M49" i="1" a="1"/>
  <c r="M49" i="1" s="1"/>
  <c r="R48" i="1"/>
  <c r="Q48" i="1"/>
  <c r="O48" i="1"/>
  <c r="N48" i="1"/>
  <c r="M48" i="1" a="1"/>
  <c r="M48" i="1" s="1"/>
  <c r="R47" i="1"/>
  <c r="Q47" i="1"/>
  <c r="O47" i="1"/>
  <c r="N47" i="1"/>
  <c r="M47" i="1" a="1"/>
  <c r="M47" i="1" s="1"/>
  <c r="R46" i="1"/>
  <c r="Q46" i="1"/>
  <c r="O46" i="1"/>
  <c r="N46" i="1"/>
  <c r="M46" i="1" a="1"/>
  <c r="M46" i="1" s="1"/>
  <c r="R45" i="1"/>
  <c r="Q45" i="1"/>
  <c r="O45" i="1"/>
  <c r="N45" i="1"/>
  <c r="M45" i="1" a="1"/>
  <c r="M45" i="1" s="1"/>
  <c r="R44" i="1"/>
  <c r="Q44" i="1"/>
  <c r="O44" i="1"/>
  <c r="N44" i="1"/>
  <c r="M44" i="1" a="1"/>
  <c r="M44" i="1" s="1"/>
  <c r="R43" i="1"/>
  <c r="Q43" i="1"/>
  <c r="O43" i="1"/>
  <c r="N43" i="1"/>
  <c r="M43" i="1" a="1"/>
  <c r="M43" i="1" s="1"/>
  <c r="R42" i="1"/>
  <c r="Q42" i="1"/>
  <c r="O42" i="1"/>
  <c r="N42" i="1"/>
  <c r="M42" i="1" a="1"/>
  <c r="M42" i="1" s="1"/>
  <c r="R41" i="1"/>
  <c r="Q41" i="1"/>
  <c r="O41" i="1"/>
  <c r="N41" i="1"/>
  <c r="M41" i="1" a="1"/>
  <c r="M41" i="1" s="1"/>
  <c r="R40" i="1"/>
  <c r="Q40" i="1"/>
  <c r="O40" i="1"/>
  <c r="N40" i="1"/>
  <c r="M40" i="1" a="1"/>
  <c r="M40" i="1" s="1"/>
  <c r="R39" i="1"/>
  <c r="Q39" i="1"/>
  <c r="O39" i="1"/>
  <c r="N39" i="1"/>
  <c r="M39" i="1" a="1"/>
  <c r="M39" i="1" s="1"/>
  <c r="R38" i="1"/>
  <c r="Q38" i="1"/>
  <c r="O38" i="1"/>
  <c r="N38" i="1"/>
  <c r="M38" i="1" a="1"/>
  <c r="M38" i="1" s="1"/>
  <c r="R37" i="1"/>
  <c r="Q37" i="1"/>
  <c r="O37" i="1"/>
  <c r="N37" i="1"/>
  <c r="M37" i="1" a="1"/>
  <c r="M37" i="1" s="1"/>
  <c r="R36" i="1"/>
  <c r="Q36" i="1"/>
  <c r="O36" i="1"/>
  <c r="N36" i="1"/>
  <c r="M36" i="1" a="1"/>
  <c r="M36" i="1" s="1"/>
  <c r="R35" i="1"/>
  <c r="Q35" i="1"/>
  <c r="O35" i="1"/>
  <c r="N35" i="1"/>
  <c r="M35" i="1" a="1"/>
  <c r="M35" i="1" s="1"/>
  <c r="R34" i="1"/>
  <c r="Q34" i="1"/>
  <c r="O34" i="1"/>
  <c r="N34" i="1"/>
  <c r="M34" i="1" a="1"/>
  <c r="M34" i="1" s="1"/>
  <c r="R33" i="1"/>
  <c r="Q33" i="1"/>
  <c r="O33" i="1"/>
  <c r="N33" i="1"/>
  <c r="M33" i="1" a="1"/>
  <c r="M33" i="1" s="1"/>
  <c r="R32" i="1"/>
  <c r="Q32" i="1"/>
  <c r="O32" i="1"/>
  <c r="N32" i="1"/>
  <c r="M32" i="1" a="1"/>
  <c r="M32" i="1" s="1"/>
  <c r="R31" i="1"/>
  <c r="Q31" i="1"/>
  <c r="O31" i="1"/>
  <c r="N31" i="1"/>
  <c r="M31" i="1" a="1"/>
  <c r="M31" i="1" s="1"/>
  <c r="R30" i="1"/>
  <c r="Q30" i="1"/>
  <c r="O30" i="1"/>
  <c r="N30" i="1"/>
  <c r="M30" i="1" a="1"/>
  <c r="M30" i="1" s="1"/>
  <c r="R29" i="1"/>
  <c r="Q29" i="1"/>
  <c r="O29" i="1"/>
  <c r="N29" i="1"/>
  <c r="M29" i="1" a="1"/>
  <c r="M29" i="1" s="1"/>
  <c r="R28" i="1"/>
  <c r="Q28" i="1"/>
  <c r="O28" i="1"/>
  <c r="N28" i="1"/>
  <c r="M28" i="1" a="1"/>
  <c r="M28" i="1" s="1"/>
  <c r="R27" i="1"/>
  <c r="Q27" i="1"/>
  <c r="O27" i="1"/>
  <c r="N27" i="1"/>
  <c r="M27" i="1" a="1"/>
  <c r="M27" i="1" s="1"/>
  <c r="R26" i="1"/>
  <c r="Q26" i="1"/>
  <c r="O26" i="1"/>
  <c r="N26" i="1"/>
  <c r="M26" i="1" a="1"/>
  <c r="M26" i="1" s="1"/>
  <c r="R25" i="1"/>
  <c r="Q25" i="1"/>
  <c r="O25" i="1"/>
  <c r="N25" i="1"/>
  <c r="M25" i="1" a="1"/>
  <c r="M25" i="1" s="1"/>
  <c r="R24" i="1"/>
  <c r="Q24" i="1"/>
  <c r="O24" i="1"/>
  <c r="N24" i="1"/>
  <c r="M24" i="1" a="1"/>
  <c r="M24" i="1" s="1"/>
  <c r="R23" i="1"/>
  <c r="Q23" i="1"/>
  <c r="O23" i="1"/>
  <c r="N23" i="1"/>
  <c r="M23" i="1" a="1"/>
  <c r="M23" i="1" s="1"/>
  <c r="R22" i="1"/>
  <c r="Q22" i="1"/>
  <c r="O22" i="1"/>
  <c r="N22" i="1"/>
  <c r="M22" i="1" a="1"/>
  <c r="M22" i="1" s="1"/>
  <c r="R21" i="1"/>
  <c r="Q21" i="1"/>
  <c r="O21" i="1"/>
  <c r="N21" i="1"/>
  <c r="M21" i="1" a="1"/>
  <c r="M21" i="1" s="1"/>
  <c r="R20" i="1"/>
  <c r="Q20" i="1"/>
  <c r="O20" i="1"/>
  <c r="N20" i="1"/>
  <c r="M20" i="1" a="1"/>
  <c r="M20" i="1" s="1"/>
  <c r="R19" i="1"/>
  <c r="Q19" i="1"/>
  <c r="O19" i="1"/>
  <c r="N19" i="1"/>
  <c r="M19" i="1" a="1"/>
  <c r="M19" i="1" s="1"/>
  <c r="R18" i="1"/>
  <c r="Q18" i="1"/>
  <c r="O18" i="1"/>
  <c r="N18" i="1"/>
  <c r="M18" i="1" a="1"/>
  <c r="M18" i="1" s="1"/>
  <c r="R17" i="1"/>
  <c r="Q17" i="1"/>
  <c r="O17" i="1"/>
  <c r="N17" i="1"/>
  <c r="M17" i="1" a="1"/>
  <c r="M17" i="1" s="1"/>
  <c r="R16" i="1"/>
  <c r="Q16" i="1"/>
  <c r="O16" i="1"/>
  <c r="N16" i="1"/>
  <c r="M16" i="1" a="1"/>
  <c r="M16" i="1" s="1"/>
  <c r="R15" i="1"/>
  <c r="Q15" i="1"/>
  <c r="O15" i="1"/>
  <c r="N15" i="1"/>
  <c r="M15" i="1" a="1"/>
  <c r="M15" i="1" s="1"/>
  <c r="R14" i="1"/>
  <c r="Q14" i="1"/>
  <c r="O14" i="1"/>
  <c r="N14" i="1"/>
  <c r="M14" i="1" a="1"/>
  <c r="M14" i="1" s="1"/>
  <c r="R13" i="1"/>
  <c r="Q13" i="1"/>
  <c r="O13" i="1"/>
  <c r="N13" i="1"/>
  <c r="M13" i="1" a="1"/>
  <c r="M13" i="1" s="1"/>
  <c r="R12" i="1"/>
  <c r="Q12" i="1"/>
  <c r="O12" i="1"/>
  <c r="N12" i="1"/>
  <c r="M12" i="1" a="1"/>
  <c r="M12" i="1" s="1"/>
  <c r="R11" i="1"/>
  <c r="Q11" i="1"/>
  <c r="O11" i="1"/>
  <c r="N11" i="1"/>
  <c r="M11" i="1" a="1"/>
  <c r="M11" i="1" s="1"/>
  <c r="R10" i="1"/>
  <c r="Q10" i="1"/>
  <c r="O10" i="1"/>
  <c r="N10" i="1"/>
  <c r="M10" i="1" a="1"/>
  <c r="M10" i="1" s="1"/>
  <c r="R9" i="1"/>
  <c r="Q9" i="1"/>
  <c r="O9" i="1"/>
  <c r="N9" i="1"/>
  <c r="M9" i="1" a="1"/>
  <c r="M9" i="1" s="1"/>
  <c r="R8" i="1"/>
  <c r="Q8" i="1"/>
  <c r="O8" i="1"/>
  <c r="N8" i="1"/>
  <c r="M8" i="1" a="1"/>
  <c r="M8" i="1" s="1"/>
  <c r="R7" i="1"/>
  <c r="Q7" i="1"/>
  <c r="O7" i="1"/>
  <c r="N7" i="1"/>
  <c r="M7" i="1" a="1"/>
  <c r="M7" i="1" s="1"/>
  <c r="R6" i="1"/>
  <c r="Q6" i="1"/>
  <c r="O6" i="1"/>
  <c r="N6" i="1"/>
  <c r="M6" i="1" a="1"/>
  <c r="M6" i="1" s="1"/>
  <c r="R5" i="1"/>
  <c r="Q5" i="1"/>
  <c r="O5" i="1"/>
  <c r="N5" i="1"/>
  <c r="M5" i="1" a="1"/>
  <c r="M5" i="1" s="1"/>
  <c r="R4" i="1"/>
  <c r="Q4" i="1"/>
  <c r="O4" i="1"/>
  <c r="N4" i="1"/>
  <c r="M4" i="1" a="1"/>
  <c r="M4" i="1" s="1"/>
  <c r="R3" i="1"/>
  <c r="Q3" i="1"/>
  <c r="O3" i="1"/>
  <c r="N3" i="1"/>
  <c r="M3" i="1" a="1"/>
  <c r="M3" i="1" s="1"/>
  <c r="R2" i="1"/>
  <c r="Q2" i="1"/>
  <c r="O2" i="1"/>
  <c r="N2" i="1"/>
  <c r="M2" i="1" a="1"/>
  <c r="M2" i="1" s="1"/>
</calcChain>
</file>

<file path=xl/sharedStrings.xml><?xml version="1.0" encoding="utf-8"?>
<sst xmlns="http://schemas.openxmlformats.org/spreadsheetml/2006/main" count="1272" uniqueCount="919">
  <si>
    <t>role</t>
  </si>
  <si>
    <t>client</t>
  </si>
  <si>
    <t>direction</t>
  </si>
  <si>
    <t>name</t>
  </si>
  <si>
    <t>context</t>
  </si>
  <si>
    <t>description</t>
  </si>
  <si>
    <t>start</t>
  </si>
  <si>
    <t>end</t>
  </si>
  <si>
    <t>duration</t>
  </si>
  <si>
    <t>community</t>
  </si>
  <si>
    <t>Reformulation REX</t>
  </si>
  <si>
    <t xml:space="preserve"> </t>
  </si>
  <si>
    <t xml:space="preserve">"Agit comme un expert du monde du conseil et analyse la mission ci dessous pour la catégoriser selon la typologie suivante : Cluster 1 : Stratégie, Cadrage et Gouvernance (Le "Think") Ce niveau concerne l'idéation, la définition de la feuille de route et la structuration organisationnelle de l'IA.
    Exemples d'actions : Réalisation de diagnostics de maturité IA, conception de Target Operating Models (TOM), mise en place de "AI Factories" ou de centres d'excellence, et définition de budgets.
    Missions représentatives : Structuration du programme AI Connect (CA Consumer Finance), définition de la stratégie IA pour la direction juridique de la Société Générale, ou encore l'exploration stratégique de l'IA Générative pour BNPP.
Cluster 2 : Pilotage de Projet et Delivery (Le "Build &amp; Run") Ce niveau regroupe les fonctions de gestion (PMO, Product Owner, Chef de projet) visant à délivrer concrètement la solution.
    Exemples d'actions : Gestion de backlogs, animation des rituels agiles, coordination entre les équipes métiers et techniques (IT, Data Scientists), et suivi des KPIs de performance.
    Missions représentatives : Pilotage de chatbots comme SoBot ou SG Assistant (Société Générale), gestion du portefeuille Data/IA (BPCE, La Poste), et pilotage de déploiement en magasin (Skincare Diagnosis dans le luxe).
Cluster 3 : Conception Technique et Data Science (Le "Make") Ce niveau implique une expertise technique directe sur la donnée, la modélisation mathématique et le développement d'algorithmes.
    Exemples d'actions : Création de modèles de Machine Learning, fine-tuning de LLMs, mise en place d'architectures RAG (Retrieval-Augmented Generation), ingénierie de prompts et création d'outils de computer vision.
    Missions représentatives : Détection automatique des coups de badminton par IA (INSEP), traduction de libellés via LLM (BCA Expertise), ou création de solutions de retranscription audio.
Cluster 4 : Acculturation et Conduite du Changement (Le "Care &amp; Scale") Ce niveau vise à garantir l'adoption des outils par les utilisateurs finaux et la montée en compétence des équipes.
    Exemples d'actions : Organisation de Hackathons, création de formations, vulgarisation scientifique, définition de plans d'accompagnement et gestion des résistances.
    Missions représentatives : Organisation d'un Hackathon IA (Baloise Assurances), formations sur l'IA Générative pour les RH (BPCE), et déploiement d'outils d'IA documentaire avec conduite du changement (AXA XL).
Cluster 5 : Éthique, Conformité et Gouvernance des Données (Le "Trust") Ce niveau garantit que l'IA repose sur des données saines et respecte les réglementations (IA Act, RGPD, biais).
    Exemples d'actions : Data Stewardship, amélioration de la qualité des données, intégration des principes de "Compliance by Design" et "Ethics by Design", et explicabilité des modèles (XAI).
    Missions représentatives : Anticipation des risques éthiques et juridiques d'un algorithme de matching RH, Benchmark des méthodes d'explicabilité de la librairie BEExAI.
Cluster 6 : nouveau modèle de travail.
Exemple d'acions : les attentes comportementales individuelles, qui définissent les postures, pratiques et compétences attendues des collaborateurs, les rôles et responsabilités, formalisés notamment à travers les fiches de poste, les processus opérationnels, qui structurent l’enchaînement, des actions pour atteindre les résultats attendus, les modalités managériales, qui encadrent le pilotage, l’animation et le développement de la performance collective
Réponds uniquement avec le nom du cluster le plus adéquat à la mission.
</t>
  </si>
  <si>
    <t>"Agit comme un expert du monde du conseil et analyse la mission ci dessous pour la catégoriser selon la typologie suivante : 
    Cluster A : Relation Client, Ventes et Marketing L'IA est ici utilisée pour personnaliser, fluidifier ou augmenter les points de contact avec la clientèle.
        Applications : Chatbots/Callbots transactionnels, recommandations personnalisées, stratégies CRM prédictives, et anticipation des tendances (Métavers, Retail 3.0).
        Missions représentatives : Déploiement de SG Assistant et SoBot, optimisation du CRM par l'IA (Parfums Christian Dior), IA sommelière (Moët Hennessy).
    Cluster B : Conformité, Risques et Juridique L'IA agit comme un bouclier pour détecter les anomalies, s'assurer du respect des règles ou assister les fonctions juridiques complexes.
        Applications : Lutte Contre le Blanchiment (LCB-FT), KYC (Know Your Customer), analyse automatisée de contrats, et détection des abus de marché.
        Missions représentatives : Déploiement du clausier digital et analyse des contrats ISDA par IA (Société Générale), intégration de l'IA pour la conformité LCB-FT (AXA, La Banque Postale).
    Cluster C : Efficacité Opérationnelle et Processus Back/Middle-Office L'objectif est d'automatiser les tâches répétitives (hyperautomatisation) pour réduire les coûts et accélérer les traitements (design-to-save).
        Applications : Reconnaissance automatique de documents (RAD/LAD), routage d'emails, automatisation de la facturation et aide à l'indemnisation de sinistres.
        Missions représentatives : Refonte du parcours de prêt immobilier via IA (Société Générale), classification d'emails (Allianz), outil de comparaison de documents (AXA XL).
    Cluster D : Innovation "Cœur de Métier" (R&amp;D, Production, Supply Chain) L'IA est intégrée au cœur de la création du produit ou de son acheminement physique.
        Applications : Modèles prédictifs pour la R&amp;D, vision par ordinateur, agriculture de précision, et prévisions de la demande industrielle (Supply Chain).
        Missions représentatives : Programme Augmented Researchers pour réinventer la formulation cosmétique via l'IA (L'Oréal), et solutions IA pour l'agriculture/viticulture (Bloomfield Robotics).
    Cluster E : Stratégie IT, Architecture et Données Transverses Ce sont les missions "fondation" qui préparent les systèmes d'information et les bases de données à exploiter l'IA à l'échelle.
        Applications : Remise en qualité des bases de données de référence (Master Data Management), fusion de données, modernisation des data warehouses.
        Missions représentatives : Nettoyage de la donnée Tiers et déboulonnage suite à une fusion bancaire (Société Générale), modernisation d'architecture de données (TDF).
Cluster F : People, change et sustainability.
        Applications : acculturation RH, montée en compétences, conduite du changement, éthique.
--------------------------------------------------------------------------------
Application : La Matrice Bifacteur
Pour catégoriser exhaustivement chaque mission, il suffit de croiser un Cluster de l'Axe 1 avec un Cluster de l'Axe 2.
Exemples de typologie bifacteur :
    La mission à l'INSEP sur le badminton = [Cluster 3 - Conception Technique] x [Cluster D - Innovation Cœur de Métier].
    La mission chez AXA XL sur l'adoption du comparateur de documents = [Cluster 4 - Conduite du Changement] x [Cluster C - Efficacité Opérationnelle].
    La mission au Secrétariat Général SG pour le clausier IA = [Cluster 2 - Pilotage de Produit] x [Cluster B - Juridique].
Réponds uniquement avec le nom du cluster le plus adéquat à la mission.
Voici les détails résumés de la mission :</t>
  </si>
  <si>
    <t>AXE 1</t>
  </si>
  <si>
    <t>AXE 2</t>
  </si>
  <si>
    <t>Indice IA (palier)</t>
  </si>
  <si>
    <t>Centralité (0-3)</t>
  </si>
  <si>
    <t>Technique (0-3)</t>
  </si>
  <si>
    <t>Maturité (0-3)</t>
  </si>
  <si>
    <t>Score /9</t>
  </si>
  <si>
    <t>Chef de projet</t>
  </si>
  <si>
    <t>LA BANQUE POSTALE</t>
  </si>
  <si>
    <t>Direction de la Conformité Groupe</t>
  </si>
  <si>
    <t>Intelligence artificielle pour la conformité</t>
  </si>
  <si>
    <t>Au sein de la Direction de la Conformité Groupe, intervention en qualité de chef de projet sur les sujets d'implémentation de l'intelligence artificielle dans le cadre de la conformité (LCB-FT, sanctions, embargos).</t>
  </si>
  <si>
    <t xml:space="preserve">Pilotage : Suivi des projets IA de la Direction de la conformité Groupe Ateliers et comités de projets  Cadrage : Identification des opportunités d'intégration de l'IA Etude de faisabilité sur le périmètre conformité Définition d'une stratégie de passage à l'échelle   </t>
  </si>
  <si>
    <t>Regulatory &amp; Compliance</t>
  </si>
  <si>
    <t>Square Management est intervenu en tant que Chef de projet au sein de la Direction de la Conformité Groupe de LA BANQUE POSTALE.
Le contexte de la mission était l'implémentation de l'Intelligence Artificielle dans le cadre de la conformité (LCB-FT, sanctions, embargos).
Le rôle principal était le pilotage et le suivi des projets IA de la Direction de la Conformité Groupe.
Ceci incluait le cadrage des opportunités d'intégration de l'IA et la définition d'une stratégie de passage à l'échelle.</t>
  </si>
  <si>
    <t>Central</t>
  </si>
  <si>
    <t>Lead expert</t>
  </si>
  <si>
    <t>Abilicor</t>
  </si>
  <si>
    <t>Transformation Office</t>
  </si>
  <si>
    <t>LeadAI</t>
  </si>
  <si>
    <t>Le projet “LeadAI” d’abiliCor vise à donner les moyens aux organisations pour piloter leur transformation digitale en combinant l’IA et l’expertise humaine.  L’approche est centrée sur l’Agentic AI. Les décisions stratégiques restent humaines. L’IA permet d’évaluer le degré de maturité digitale des organisations (digital maturity), d’analyser les forces/faiblesses stratégiques, et de générer des recommandations.</t>
  </si>
  <si>
    <t xml:space="preserve">Modélisatinon du modèle de maturité: Responsible innovation Génération des output des descriptions de problèmes Relecture et enrichissement des descriptions de problèmes afin d'ajouter des bonnes pratiques Coordination des parties prenantes avec l'université de Zurich et le cabinet Strametz </t>
  </si>
  <si>
    <t>Square Management est intervenu en tant que Lead expert sur le projet "LeadAI" d'Abilicor, visant à piloter la transformation digitale des organisations en combinant l'Intelligence Artificielle et l'expertise humaine, avec une approche centrée sur l'Agentic AI.
La mission comprenait la modélisation du modèle de maturité (Responsible innovation), l'utilisation de l'IA pour évaluer la maturité digitale, analyser les forces/faiblesses stratégiques, et générer des recommandations.
Le rôle a aussi nécessité la génération et l'enrichissement des descriptions de problèmes, ainsi que la coordination avec des parties prenantes externes (Université de Zurich, cabinet Strametz).</t>
  </si>
  <si>
    <t>NATIXIS IM</t>
  </si>
  <si>
    <t>Direction Transformation</t>
  </si>
  <si>
    <t>TOM Project Portfolio Management &amp; Gouvernance IA</t>
  </si>
  <si>
    <t>Natixis Investment Managers Operating Services (Natixis IM OS) est une entité nouvellement consituée qui nécessite de réorganiser le suivi du portefeuille des projets de AWM, en coordonnant les Directions des différentes sociétés affiliées en Europe et aux US.</t>
  </si>
  <si>
    <t xml:space="preserve">Au sein de la Direction de la Transformation (TOMI) et avec le COO et le CTO, la mission se déroule aoutour de quatre volets : "CESI AWM &amp; Project Portfolio Management (PPM) Policy" - rédiger et mettre en place une politique de gouvernance régie par des comités trimestriels (CESI) sur l'ensemble du périmètre des sociétés affiliées AWM (Asset &amp; Wealth Management), y compris la définition des critères pour la séleciton des projets suivis et les impacts organisationnels. Community Management - Cadrer et formaliser les activités de Community Management AWM sur la base des besoins des parties prenantes. Target Operating Model du Project Portfolio Management - Définir le RACI du PPM NIM OS (équipes TOMI et Activity Tracking) et en relation avec l’exercice budgétaire, définir l’ensemble du TOM (socle du référentiel projets, besoins de reportings, méthodologie &amp; charte projets NIM OS, reportings associés) et la roadmap pour son implémentation. Reprise de la gouvernance des initiatives IA sur le périmètre AWM afin de garantir la coordination avec les affiliés et la priorisation des use cases. </t>
  </si>
  <si>
    <t>Square Management est intervenu en tant que Chef de projet au sein de la Direction de la Transformation de NATIXIS IM OS, une entité nouvellement constituée réorganisant le suivi de son portefeuille de projets. La mission visait, entre autres, à reprendre la gouvernance des initiatives d'Intelligence Artificielle (IA) sur le périmètre AWM (Asset &amp; Wealth Management). Le rôle a consisté à définir la politique de gouvernance des projets et s'assurer de la coordination avec les affiliés pour la priorisation des cas d'usage IA. Cela a permis d'intégrer les initiatives IA dans le Project Portfolio Management (PPM) global.</t>
  </si>
  <si>
    <t>Contributif</t>
  </si>
  <si>
    <t>BNPP</t>
  </si>
  <si>
    <t>CIB - GLobal Banking - CCCO</t>
  </si>
  <si>
    <t>BNPP - CIB - GB CCCO INDUS PROGRAM</t>
  </si>
  <si>
    <t>Dans un contexte d’évolutions réglementaires récurrentes et d’une montée en puissance des nouvelles technologies (IA), les acteurs majeurs du secteur bancaire et des services financiers ont initié ou sont sur le point de lancer des programmes afin de refondre, compléter ou rationaliser leur dispositif de contrôle interne. Dans le cadre de son plan d’industrialisation, l’équipe Global Banking CCCO a lancé un programme structuré en 5 streams dont deux font l’objet de l'appel d'offre</t>
  </si>
  <si>
    <t>Travaux à réaliser ▪Un Stream est dédié à l’Automatisation/Mutualisation des contrôles compliance de 1er niveau qui vise à automatiser, lorsque cela est possible soit une composante du contrôle (par exemple l’échantillonage), soit l'exécution des contrôles et enfin les reportings des résultats sur l'ensemble de la chaîne de valeur. Si l'automatisation n'est pas possible, il conviendra d’envisager la mutualisation et/ou la centralisation de l'exécution des contrôles. ▪Un autre Stream est dédié à l’alignement des contrôles Compliance entre les 3 régions de Global Banking (EMEA, APAC et AMER). La volumétrie est d'neviron 1500 contrôles environ sur ces trois régions.  Objectifs de la mission : ▪Aligner les contrôles de conformité LOD1 pour les 3 zones géographique de Global Banking ▪Identifier les contrôles automatisables en fonction notamment de la disponibilité des données (et de leur qualité) ▪Identifier les contrôles mutualisables dans une logique de hub et définir le dispositif cible entre le Hub et les équipes locales ▪Définir une roadmap d’évolution du dispositif de contrôle LoD1 réaliste</t>
  </si>
  <si>
    <t>Risk &amp; Finance</t>
  </si>
  <si>
    <t>Square Management est intervenu en tant que Chef de projet au sein de CIB - GLobal Banking - CCCO de BNPP, dans un contexte d’évolutions réglementaires et de montée en puissance de l'Intelligence Artificielle. La mission visait à refondre et rationaliser le dispositif de contrôle interne. Le rôle de Square Management était d'accompagner l'industrialisation des contrôles, notamment via un stream dédié à l’Automatisation/Mutualisation des contrôles de compliance de 1er niveau, s'appuyant sur l'IA, et l'alignement des contrôles de conformité LoD1 sur les trois zones géographiques de Global Banking. Les objectifs incluaient l'identification des contrôles automatisables et mutualisables, ainsi que la définition d'une roadmap d’évolution.</t>
  </si>
  <si>
    <t>Senior Advisor</t>
  </si>
  <si>
    <t>BNPP BCEF</t>
  </si>
  <si>
    <t>Card &amp; Innovative Payments</t>
  </si>
  <si>
    <t>Positionnement des moyens de paiement à horizon 2030 &amp; développement de services à valeur ajoutée autour des paiements wero</t>
  </si>
  <si>
    <t>Dans le cadre du développement de nouveaux moyens de paiement et du lancement de Wero par le nouveau scheme Européen EPI dont BNP Paribas est membre il a été décidé de mener une étude concernant : - Les moyens de paiements des particuliers et leur positionnement à horizon 2030 (quels moyens de paiements, quels bénéfices pour les clients, quels coûts pour les clients, quels gains pour la banque, quels services à valeur ajoutée associés…) - Les services à valeur ajoutée à adosser ou à proposer en option aux moyens de paiement Wero pour augmenter leur attractivité et gagner des revenus additionnels pour BNPP pour compenser la baisse des revenus d’interchange (l’interchange” wero étant plus faible que celui des cartes bancaires)</t>
  </si>
  <si>
    <t>1. Comprendre la structure du PNB et de la base de coût du paiement et son évolution à 2030 avec l’arrivée de Wero et les changements du mix de transactions, l’objectif étant de sécuriser le PNB 2. Construire un modèle qui permet de simuler des scenarios a. Par scheme (Visa, Mastercard, CB en France, Bancontact en Belgique), par type de transactions (carte, Apple Pay, account to account) avec l’impact sur la chaine issuing et la chaine acquiring b. Par vue globale P&amp;L par entité (BCEF/ BNPP Fortis), impact des volumes et product mix sur les revenus et coûts (hors les coûts de processing interne) 3. Recenser les services à valeur ajoutée pouvant se rattacher à l’offre de paiement et le coût pour les clients (assurance, assistance, garantie perte ou vol, extension de garantie, BNPL, 3/x fois, conciergerie, cashback, IA, les services adossés aux datas transactionnelles…) et identifier ceux qui feraient du sens pour les paiements Wero. Identifier notamment ce qui se pratique dans les pays ou l’account to account est très développé avec un focus sur les modèles économiques rentables (Les Nordics, Les Pays Bas, l’Espagne et au-delà de l’Europe) 4. Structurer les offres de moyens de paiement à horizon 2030 avec de la création de PNB net (quelles offres et comment sont-elles proposées aux clients, quels bénéfices pour la banque) o Inclure les services à valeur ajoutée au sein de packages ? / les proposer à la transaction ? o Adosser les services à valeur ajoutée à chaque moyen de paiement ou les adosser au niveau du compte client ? o … 5. Définir le modèle économique / le pricing des offres 6. Co-construire avec BCEF et avec BNPP Fortis des offres concrètes et activables par BCEF et par BNPP Fortis d’ici à 2030 avec des priorités (quelles offres et quels impacts business / PNB)</t>
  </si>
  <si>
    <t>Square Management est intervenu en tant que Senior Advisor chez BNPP BCEF (Card &amp; Innovative Payments) pour une étude stratégique sur le positionnement des moyens de paiement à horizon 2030, notamment avec le lancement de Wero (EPI).
Le contexte de la mission est de sécuriser le Produit Net Bancaire (PNB) face à l'évolution du marché et la baisse des revenus d'interchange, en identifiant des services à valeur ajoutée.
Le rôle comprenait l'analyse de la structure PNB et l'élaboration de modèles de simulation pour divers scénarios de paiement.
L'accent est mis sur l'identification des services additionnels pertinents pour Wero, incluant l'Intelligence Artificielle (IA).
La mission visait à structurer des offres de moyens de paiement concrètes, intégrant l'IA et d'autres services, avec un modèle économique défini, pour une activation d'ici 2030.</t>
  </si>
  <si>
    <t>Marginal</t>
  </si>
  <si>
    <t>Pilote Programme Stratégique - Paiements 2030</t>
  </si>
  <si>
    <t>BNP PARIBAS</t>
  </si>
  <si>
    <t>Cards &amp; Innovative Payments [CIP]</t>
  </si>
  <si>
    <t>Etude Stratégique - Paiements à 2030</t>
  </si>
  <si>
    <t xml:space="preserve">En cours... </t>
  </si>
  <si>
    <t>Dans le cadre du développement de nouveaux moyens de paiement et du lancement de Wero par le nouveau scheme Européen EPI dont BNP Paribas est membre il a été décidé de mener une étude concernant : - Les moyens de paiements des particuliers et leur positionnement à horizon 2030 (quels moyens de paiements, quels bénéfices pour les clients, quels coûts pour les clients, quels gains pour la banque, quels services à valeur ajoutée associés...) - Les services à valeur ajoutée à adosser ou à proposer en option aux moyens de paiement Wero pour augmenter leur attractivité et gagner des revenus additionnels pour BNPP pour compenser la baisse des revenus d’interchange (l’interchange” wero étant plus faible que celui des cartes bancaires)  1.Comprendre la structure du PNB et de la base de coût du paiement et son évolution à 2030 avec l’arrivée de Wero et les changements du mix de transactions (canal, use cases), l’objectif étant de sécuriser le PNB.  2. Construire un modèle qui permet de simuler des scenarios a. Par scheme (Visa, Mastercard, CB en France, Bancontact en Belgique), par type de transactions (carte, Apple Pay, account to account) avec l’impact sur la chaine issuing et la chaine acquiring b. Par vue globale P&amp;L par entité (BCEF/ BNPP Fortis), impact des volumes et product mix sur les revenus et coûts (hors les coûts de processing interne)  3. Recenser les services à valeur ajoutée pouvant se rattacher à l’offre de paiement et le coût pour les clients (assurance, assistance, garantie perte ou vol, extension de garantie, BNPL, 3/x fois, conciergerie, cashback, IA, les services adossés aux datas transactionnelles...) et identifier ceux qui feraient du sens pour les paiements Wero. Identifier notamment ce qui se pratique dans les pays ou l’account to account est très développé avec un focus sur les modèles économiques rentables (Les Nordics, Les Pays Bas, l’Espagne et au-delà de l’Europe)  4. Structurer les offres de moyens de paiement à horizon 2030 avec de la création de PNB net (quelles offres et comment sont-elles proposées aux clients, quels bénéfices pour la banque) o Inclure les services à valeur ajoutée au sein de packages ? / les proposer à la transaction ? o Adosser les services à valeur ajoutée à chaque moyen de paiement ou les adosser au niveau du compte client ?  5. Définir le modèle économique / le pricing des offres  6. Co-construire avec BCEF et avec BNPP Fortis des offres concrètes et activables par BCEF et par BNPP Fortis d’ici à 2030 avec des priorités (quelles offres et quels impacts business / PNB)</t>
  </si>
  <si>
    <t>Digital &amp; Marketing</t>
  </si>
  <si>
    <t>Square Management est intervenu en tant que Pilote Programme Stratégique - Paiements 2030 auprès de BNP PARIBAS, au sein de Cards &amp; Innovative Payments [CIP]. La mission est une étude stratégique sur les moyens de paiement à horizon 2030, notamment le lancement de Wero (scheme Européen EPI). Le rôle de Square Management incluait l'analyse de services à valeur ajoutée, comme l'IA, pour augmenter l'attractivité des paiements Wero et sécuriser le Produit Net Bancaire (PNB). Cette analyse visait à recenser les services adossés aux datas transactionnelles et identifier leur pertinence pour Wero.</t>
  </si>
  <si>
    <t>Product owner IA</t>
  </si>
  <si>
    <t>BPCE</t>
  </si>
  <si>
    <t>Direction des risques</t>
  </si>
  <si>
    <t>Gestion de projet - PO IA</t>
  </si>
  <si>
    <t>Au sein de l'équipe Applicatifs Modèles &amp; Innovation de la Direction des Risques de BPCE SA, la mission de PO IA Risques consiste à déployer l'outil interne Golden Eye pour les collaborateurs des Directions Risques des différents établissements (BPCE SA, Banque Populaire, Caisse d’Épargne, filiales, etc.) soit 500 collaborateurs. Cela implique la gestion du projet IA en collaboration avec les Métiers du Risque et l'équipe Data-IA pluridisciplinaire (data scientist, data engineer, dev. front/back, UX/UI) pour suivre l'évolution du développement des fonctionnalités sur la partie métier et technique.</t>
  </si>
  <si>
    <t>•Sur le plan métier : •Stratégie de déploiement : supports d’onboarding et démonstrations de l’outil aux nouveaux utilisateurs Risques •Suivi post déploiement : gestion du « SAV » et Ateliers de retour d'expérience / recueil de nouveaux besoins •Démo métiers Risques (GFS) et consolidation des nouveaux besoins  •Sur le plan technique : •Gestion du backlog via l’outil Jira (en collaboration avec l’équipe Risques &amp; Data-IA) sur l’organisation des sprints planning et sprint review avec la squad Golden Eye •Tests des développements front end •Suivi des problèmes techniques liés à BPCE IT (flux, sécurité, accès application…)</t>
  </si>
  <si>
    <t>Square Management est intervenu en tant que Product Owner IA au sein de l'équipe Applicatifs Modèles &amp; Innovation de la Direction des Risques de BPCE SA. La mission consistait à piloter le déploiement de l'outil IA interne "Golden Eye" auprès de 500 collaborateurs des Directions Risques. Le rôle impliquait la gestion du projet IA en collaboration avec les équipes Métiers du Risque et l'équipe Data-IA pluridisciplinaire, assurant le suivi du développement des fonctionnalités et la stratégie de déploiement (onboarding, suivi post-déploiement, gestion du backlog via Jira).</t>
  </si>
  <si>
    <t xml:space="preserve">PMO </t>
  </si>
  <si>
    <t>L'OREAL</t>
  </si>
  <si>
    <t>R&amp;I</t>
  </si>
  <si>
    <t xml:space="preserve">Pilotage de projets innovants </t>
  </si>
  <si>
    <t>Le programme Augmented Researchers a été pensé comme un levier pour permettre à la R&amp;I d'atteindre ses objectifs stratégiques en matière d'innovation, de durabilité et d'efficience. La mission a consisté à soutenir activement la transformation digitale des activités de recherche en garantissant l'exécution des projets du scope (Data, IA, excellence opérationnelle, etc.) liés au Programme AR. Scope - Worldwide Impact - ~4000 people</t>
  </si>
  <si>
    <t>Pilotage d'une dizaine de projets au sein du Stream E-Formulation  Cadrage : animation des ateliers de cadrage, définition de la stratégie, des ambitions, des objectifs projet et de la valeur délivrée (KVIs) Planification : élaboration et suivi des roadmaps, jalons clés et des interdépendances, mise en place et animation de la gouvernance, garantie de l'implication et de l'alignement des parties prenantes (métiers du l'ensemble des Hubs à l'international, IT, chapter Agile, UX, chapter Change, data, algo, etc.) Gestion des risques : identification et évaluation des risques, élaboration des plans de mitigation, remontée des risques critiques aux instances appropriées Suivi de la performance, reporting &amp; analyse : définition et suivi des KVIs, suivi budgétaire, reporting à la Direction de la Transformation Digitale  Exemples de projets pilotés : Conception d'un agent (GenIA) visant à supporter le chimiste dans ses activités de formulation Elaboration d'une solution de data acquisition alimantant des algorithmes de prédiction (IA) Projet de digitalisation des échanges Marketing-Labo Conception d'une solution de data visualisation agrégant les données autour des produits ...</t>
  </si>
  <si>
    <t>Square Management est intervenu en tant que PMO au sein de la R&amp;I de L'OREAL pour soutenir activement la transformation digitale via le programme "Augmented Researchers". La mission consistait à piloter l'exécution de projets liés à la Data et à l'IA, notamment au sein du Stream E-Formulation. Cela incluait la gestion de projets de Conception d'un agent GenIA pour la formulation et l'élaboration de solutions de data acquisition pour des algorithmes de prédiction (IA). Le rôle a couvert le cadrage, la planification, la gestion des risques et le suivi de la performance des projets innovants.</t>
  </si>
  <si>
    <t>Directeur de transformation</t>
  </si>
  <si>
    <t>TDF</t>
  </si>
  <si>
    <t>DSI</t>
  </si>
  <si>
    <t>Directeur de transformation digitale</t>
  </si>
  <si>
    <t>Reprise de la direction de la transfo digitale de la BUA côté DSI</t>
  </si>
  <si>
    <t>- Déploiment d'outil de Strategic Porfolio Managment  - Implémentation d'interface de relation client   - Modernisation de data warehouse / Data architecture   - Solutions d'IA sur mesure pour l'optimisation des process métiers  - Pilotage d'équipes transverses - Management transverse des équipes projet - Suivi et prévisions budgétaires - Gestion de l'ACM - Reporting CODIR/COMEX - Stratégie de transfo</t>
  </si>
  <si>
    <t>Square Management est intervenu en tant que Directeur de transformation au sein de la DSI de TDF, dans le cadre de la reprise de la direction de la transformation digitale.
La mission comprenait notamment l'implémentation de solutions d'IA sur mesure visant à optimiser les processus métiers.
Le rôle a englobé le déploiement d'outils de Strategic Portfolio Management, la modernisation de l'architecture de données, et le pilotage transverse d'équipes projet.
Il a également assuré le suivi budgétaire, la gestion de l'ACM et le reporting CODIR/COMEX.</t>
  </si>
  <si>
    <t>International CRM project Manager</t>
  </si>
  <si>
    <t>PARFUMS CHRISTIAN DIOR</t>
  </si>
  <si>
    <t xml:space="preserve">Equipe Data &amp; AI </t>
  </si>
  <si>
    <t>International CRM &amp; Data project manager</t>
  </si>
  <si>
    <t>Au sein de l'équipe international Data &amp; IA Parfum Christian Dior, notre objectif est définir une stratégie d'activation client data-driven plus forte et immersive. Celle-ci doit être axée sur la valeur, durable et opérationnellement simple. 
Afin d'appliquer cette stratégie, Mathilde travaille en étroite collaboration avec différentes équipes comme des data scientists, des data analytics, le client developpement ainsi que d'autres équipes plus transverse telles que le media, l'e-commerce, le retail, etc.</t>
  </si>
  <si>
    <t>En mission fil rouge, Mathilde travaille sur le déploiement des cas d'usages du programme Data accelerator (Framing et accompagnement des marchés sur la mise en place dans Adobe Campaign). 
De plus, elle est en charge de projets omnicanaux de la roadmap CRM : Gestion de la migration SFRA pour le CRM : définition du cahier de recette pour les UATs, suivi des UATs avec les équipes technique, accompagnement des marchés sur la mise en place d'une campagne Adobe campaign "Reset password" Projet Orchestration : en collaboration avec les équipes technique, mise en place d'une typology au sein d'Adobe campaign afin d'étudier la pression commerciale sur un marché pilot. Projet Data capture : Leader du projet en collaboration avec l'équipe client developpement. Création d'une présentation kick of pour incentiver toutes les équipes à la collecte de donnée qualitative (audit, collecte des initiatives en cours et définition de quick wins à mettre en place). Création de workshop afin de travailler sur des projets plus long terme comme la création d'un formulaire idéal ou suivi / workshop pour développer les quick wins identifiés. 
Mathilde travaille de manière 360 avec toutes les équipes digitales. Framing &amp; suivi des client paths/customer journey PCD : Création d'un catalogue triggers afin d'identifier le parcours client PCD à date en terme de triggers et proposer des optimisations ou des nouveaux triggers. Framing &amp; suivi de la mise en place des nouveaux client paths (ex: parcours prospect lors de son entrée au sein de PCD). Refonte des process et optimisation des suivis des activations : Création de nouveaux process sur la création des triggers ainsi que l'accompagnement des régions/marchés à son application (conduite du changement). Optimisation des namings nomenclature dans Adobe Campaign &amp; Power Bi pour un meilleur suivi des KPIs CRM Projets annexes (contributrice) : CRM X Media &amp; CRM X Loyalty. L'objectif est d'accompagner deux collaborateurs afin de créer plus de synergie entre le CRM et le media ou la loyalty tout en incluant la data.</t>
  </si>
  <si>
    <t>Square Management est intervenu en tant qu'International CRM project Manager au sein de l'équipe Data &amp; AI de PARFUMS CHRISTIAN DIOR.
Le contexte de la mission est de définir une stratégie d'activation client "data-driven" forte et immersive en s'appuyant sur les données et l'IA.
Le rôle de Square Management consiste à déployer les cas d'usage du programme "Data accelerator" et à mener des projets omnicanaux de la roadmap CRM.
Il travaille en étroite collaboration avec les équipes data scientists pour appliquer la stratégie et garantir la bonne exécution des projets CRM.
L'objectif est d'optimiser l'activation client et la collecte de données qualitatives, y compris l'optimisation des parcours clients et l'implémentation de processus CRM/Data.</t>
  </si>
  <si>
    <t>Stratégie Digitale et IA générative</t>
  </si>
  <si>
    <t>Recherche &amp; Innovation</t>
  </si>
  <si>
    <t>Recherche &amp; Innovation - Stratégie digitale &amp; IA</t>
  </si>
  <si>
    <t>La Recherche et Innovation de l'OREAL mène une transformation digitale en profondeur, dont l'un des piliers; "Augmented Researcher", vise à renforcer les capacités d'innovation de ses Laboratoires, voire révolutionner la formulation, en intégrant le digital, la data, et l'IA/ IA générative au coeur des ways of working des chercheurs. Un programme qui vient soutenir les ambitions L'OREAL FOR THE FUTURE (engagements à 2030 en matière de Sustainability)</t>
  </si>
  <si>
    <t>Accompagmenent du CDTO Métier (Chief Digital Transformation Officer) 1) Stratégie digitale et IA générative 2025-2027 (depuis juin 2024) - Co-construction de la stratégie digitale 2025-2027 autour d'un socle d'IA générative (en lien avec un partenariat externe) - Définition du Why, How et du What - Formalisation de la trajectoire  2) Intégration de GPT5 au sein les Laboratoires l'OREAL - Démarche :  identification des use cases métiers dans le parcours de formulation, création des prompts systems associés (sous forme d'acceleration day), assessment (niveau de confiance/ valeur),  pilote, déploiement de prompt "certifiés". - Enjeux : efficacité opérationnelle et innovation, uspkilling des équipes - Accompagnement des équipes France, et des Hubs (Amérique, Asie et pays émergeants) - Exemple de cas d'usage : analyse de brevet, remplacement de matière première, analyse de risque d'une formule  3) Programme d'IA générative : création d'un LLM - Accompagnement du CDTO dans le partenariat IBM x L'OREAL (création d'un LLM 'vertical' dédié à la formulation cosmétique): analyse de risque, définition des KPIs, préparation des instances Comex. - Accompagnement de la stratégie d'acquisition de données structurées (données pertinentes pour la prédiction de performances de formules) et de la stratégie de robotisation associée (robotisation des laboratoire pour acquérir en masse de la donnée de qualité) -Définition de la stratégie de microscopie : ambitions, roadmap, priorisation (type de données, catégories de produits prioritaires, investissements), mise en place d'une POC pour tester la fiabilité de prédiction des données de microscopie.   4) Pilotage d'un portefeuille d'initatives de transformation digitale (Stream E-formulation) (janv - juin 2024) - Construction de la roadmap de transformation digitale du Stream Eformulation (budgétisation et priorisation par la valeur : Innovation / User Experience / Efficiency) - Préparation du dossier de validation en Comex Groupe L’OREAL : validation du budget et de la roadmap (scope et ambitions à 3 ans/ Valeur délivée/ Business plan) - Mise en place d’une gouvernance à la maille Stream</t>
  </si>
  <si>
    <t>Marketing &amp; Digital</t>
  </si>
  <si>
    <t>Square Management est intervenu en Stratégie Digitale et IA générative au sein de la Recherche &amp; Innovation de L'ORÉAL, qui mène une transformation digitale via le programme "Augmented Researcher" pour renforcer l'innovation. Le rôle a consisté à accompagner le CDTO Métier dans la co-construction de la stratégie digitale 2025-2027 autour d'un socle d'IA générative. Cela inclut l'intégration de GPT5 pour identifier des cas d'usage métiers dans la formulation (analyse de brevet, remplacement de matière première) et l'upskilling des équipes. L'intervention comprenait également l'accompagnement du partenariat IBM x L'ORÉAL pour la création d'un LLM vertical dédié à la formulation cosmétique. Enfin, la mission a couvert le pilotage du portefeuille d'initiatives de transformation digitale (Stream E-formulation).</t>
  </si>
  <si>
    <t xml:space="preserve">Expert Gen AI </t>
  </si>
  <si>
    <t>AXA GIE</t>
  </si>
  <si>
    <t>Direction Financière</t>
  </si>
  <si>
    <t>Data &amp; IA Transfo</t>
  </si>
  <si>
    <t>Au sein de l'entité Finance d'AXA GIE, j'accompagne les équipes (contrôleurs, actuaires, comptables...) à déployer des cas d'usage Gen AI au niveau groupe (GIE, Monde).</t>
  </si>
  <si>
    <t>Square Management est intervenu en tant qu'Expert Gen AI au sein de la Direction Financière d'AXA GIE (entité Finance). La mission principale est d'accompagner les équipes (contrôleurs, actuaires, comptables) à déployer des cas d'usage d'Intelligence Artificielle Générative (Gen AI) à l'échelle du groupe (GIE, Monde). Le rôle se concentre sur l'implémentation de ces solutions pour les fonctions financières.</t>
  </si>
  <si>
    <t>Conseil</t>
  </si>
  <si>
    <t>SOCIETE GENERALE</t>
  </si>
  <si>
    <t>Secrétariat Général</t>
  </si>
  <si>
    <t>Ecosystème des projets IA</t>
  </si>
  <si>
    <t>Le secrétarait Général de la SG a déterminé en 2023 quelques cas d'usages théoriqus d'utilsaiton de l'IA et de l'IA générative. Il a souhaité accélérer sur ces sujets mais doit avant tout : définir le bon écosystème interne et externe pour que les projets IA puissent fonctionner tester cet écosystème et apporter des premières preuves de valeur par le développment d'un ou plusieurs POC</t>
  </si>
  <si>
    <t>1. POSER LES BASES DE  FUTURS PROJETS IA POUR  LA SEGL AU TRAVERS UNE  GOUVERNANCE PROJET La mission vise à établir un cadre  solide pour l'intégration de l’IA au sein  de SEGL. Il s'agit d'identifier en  interne les interlocuteurs, projets en  cours, compétences et partenaires  autour de l’IA afin de définir la  meilleure façon de développer les  projets IA, à l’échelle, pour le  juridique  2. ANALYSER  ET  PRIORISER LES  INITIATIVES IA DE SEGL Des cas d’usage IA au service des  juristes ont déjà été identifiés.  L’objectif est de permettre à SEGL de  décider rationnellement des cas d’usage  à développer en intégrant une  évaluation de leur faisabilité, de leur  potentiel de réussite et d’une analyse  coûts-bénéfices,  en  du  développement d’un projet au S2 2024  3. INITIER ET CADRER LE  DÉVELOPPEMENT D’UN  CAS D’USAGE GEN AI SEGL souhaite initier le développement  d'un cas d'usage IA au S2 2024.  Ce projet pilote servira de modèle pour  démontrer la valeur ajoutée de l’IA au  service du juridique et établir les  meilleures pratiques pour les futures  applications</t>
  </si>
  <si>
    <t>Innovation</t>
  </si>
  <si>
    <t>Square Management est intervenu en tant que Conseil auprès du Secrétariat Général de SOCIETE GENERALE pour structurer l'accélération des projets d'IA et d'IA générative (Ecosystème des projets IA).
Le contexte de la mission était de définir l'écosystème interne et externe pour le fonctionnement des projets IA et de développer des POC pour des preuves de valeur.
Le rôle de Square Management a consisté à établir un cadre de gouvernance pour l'intégration de l'IA au sein de SEGL.
Cela a inclus l'identification des interlocuteurs et des projets, l'analyse et la priorisation des initiatives d'IA pour les juristes.
La mission a également couvert le cadrage et le lancement du développement d'un cas d'usage pilote de Gen AI.</t>
  </si>
  <si>
    <t>Data Steward</t>
  </si>
  <si>
    <t>FDJ</t>
  </si>
  <si>
    <t>Direction Fonction Commercial</t>
  </si>
  <si>
    <t>La FDJ se professionnalise de plus en plus sur les sujets de gouvernance de données avec notamment la création d’une entité gouvernance groupe rattachée à la direction data et ia. Celle- ci définit des politiques et procédures de la gestion et de l’utilisation des données. Les Data Steward jouent le rôle de relais de cette entité centrale en local et s’assure de la bonne diffusion et mise en œuvre de ces politiques et procédure. Ce rôle est actuellement pris en charge par un Data Product Manager dont le périmètre est en croissance : de plus en plus de besoin data, la mise en place de nouveau outils : datalake, dataiku, PBI Premium et l’accélération de la livraison de cas d’usage data science et IA</t>
  </si>
  <si>
    <t>1/ Définir le modèle fonctionnel des données  2/ Création de la cartographie générale des données de la FoCo  3/Améliorer la qualité des données : Analyser et dresser l’état des lieux complet de chacune des problématiques de qualité : comparaison de base à base, compréhension des processus métier, data lineage, etc. (Run) Définition d’outil ou de tableau de bord pour anticiper ces détériorations de qualité et pouvoir se baser sur des indicateurs pouvant mesurer la qualité de la donnée. (Build)</t>
  </si>
  <si>
    <t>Square Management est intervenu en tant que Data Steward au sein de la Direction Fonction Commerciale de la FDJ, dans un contexte de professionnalisation de la gouvernance de données et d'accélération des cas d'usage data science et IA. Le rôle a consisté à agir comme relais de l'entité de gouvernance groupe pour définir le modèle fonctionnel des données, créer une cartographie générale, et améliorer la qualité des données. La mission vise notamment à garantir une base de données fiable pour les projets d'IA et Data Science.</t>
  </si>
  <si>
    <t>Change Manager - International</t>
  </si>
  <si>
    <t>AXA XL</t>
  </si>
  <si>
    <t>Transformation &amp; Change Delivery</t>
  </si>
  <si>
    <t>Change Management - Déploiement d'un outil IA de comparateur de documents</t>
  </si>
  <si>
    <t xml:space="preserve">Ce projet se concentre sur l'intégration d'une solution d'Intelligence Artificielle pour automatiser et sécuriser les processus de comparaison de documents pour les équipes commerciales (underwriters, middle office,...) impactant directement l'efficacité opérationnelle. L'enjeu principal a été d'assurer la transition réussie vers le nouvel outil d'IA de comparaison de documents en maximisant l'adoption par les utilisateurs (juristes, souscripteurs, équipes de conformité) et en s'assurant que la valeur ajoutée (rapidité, précision, réduction des risques) de l'IA soit pleinement réalisée. </t>
  </si>
  <si>
    <t xml:space="preserve">Phase de cadrage du projet : Intégration &amp; compréhension : Intégrer l'équipe projet (PO, IT, Data Science, Métiers) pour saisir les capacités et les limites de l'outil d'IA. Analyse d'impacts (IA) : Analyser les impacts du changement sur les processus critiques (réduction des tâches manuelles, évolution des rôles vers la validation/supervision de l'IA) et le niveau de confiance requis dans la solution. Planification de l'accompagnement : Définir des plans d'accompagnement ciblant la compréhension des nouveaux processus cibles (uses cases métiers) et la nouvelle façon de travailler avec l'outil. Gouvernance &amp; risques :  Etablir un cadre de gouvernance du changement axé sur l'éthique de l'IA et la gestion du risque d'erreurs d'interprétation. Phase de déploiement : Communication ciblée : Concevoir une communication expliquant comment l'IA fonctionne (ex: taux de fiabilité, cas d'usage) pour construire la confiance (versus méfiance). Formation spécifique (compétences futures) : Déployer un programme de formation axé sur les cas d'usages (développement commercial, gestion des lead, ...) autour de l'outil Pilotage de l'adoption : Mesurer l'adoption via des KPIs qualitatifs (confiance des utilisateurs) et quantitatifs (taux d'utilisation, réduction du temps de comparaison). Support aux utilisateurs : Être le point de contact clé pour les équipes PO et les Ambassadeurs/Key Users, en particulier pour la remontée et la qualification des "anomalies" liées aux algorithmes (versus bugs). </t>
  </si>
  <si>
    <t>Square Management est intervenu en tant que Change Manager - International auprès d'AXA XL, Direction Transformation &amp; Change Delivery.
La mission était centrée sur le déploiement d'un outil d'Intelligence Artificielle destiné à automatiser et sécuriser la comparaison de documents pour les équipes commerciales.
Le rôle a consisté à encadrer la phase de cadrage et de déploiement, en analysant les impacts de l'IA sur les processus et en planifiant l'accompagnement des utilisateurs.
Cela comprenait l'élaboration de communications ciblées expliquant le fonctionnement de l'IA pour bâtir la confiance.
Un autre aspect clé était le pilotage de l'adoption via des KPIs qualitatifs et quantitatifs, et la gestion du support lié aux algorithmes de l'IA.</t>
  </si>
  <si>
    <t>Chef de projet digital</t>
  </si>
  <si>
    <t>SNCF Voyageurs</t>
  </si>
  <si>
    <t>Direction Européenne et du Développement International</t>
  </si>
  <si>
    <t>Marketing digital - Création site et app de vente</t>
  </si>
  <si>
    <t>SNCF Voyageurs souhaite entrer dans le marché italien avec une offre à grande vitesse. L'entreprise a comme objectif d'occuper d'ici 2030 le 15% de la part du marché, allant à la rencontre des exigences du public local. Dans le cadre de l'ouverture de ce marché, SNCF souhaite créer un écosystème italien de trains à la française, personnalisant la stratégie dans tous ses aspects, de la production, au marketing, à la communication, à l'RH.</t>
  </si>
  <si>
    <t>La mission confiée à Martina consiste à piloter la production d'un site internet et d'une application mobile de vente qui soient fluides et facilement accessibles au public italien. La mission comprend la coordination de l'équipe IT développant l'application, avec les équipes métier et les prestataires externes. En particulier, Martina est en charge aussi de la création d'un parc de prestataires italiens, qui puissent faire part du projet initial et puissent être référence dans la phase suivante de run. Elle a aussi cadré le chantier d'introduction de l'IA pour le service clients et les travaux SEO.</t>
  </si>
  <si>
    <t>People &amp; Change</t>
  </si>
  <si>
    <t>Square Management est intervenu en tant que Chef de projet digital auprès de SNCF Voyageurs pour piloter la création d'un site internet et d'une application mobile de vente pour le marché italien.
Le contexte de la mission était l'ambition de SNCF Voyageurs d'entrer sur le marché italien avec une offre à grande vitesse.
Le rôle a consisté à coordonner l'équipe IT, les équipes métier et les prestataires externes.
Dans le cadre de cette mission, le consultant a également encadré le chantier d'introduction de l'Intelligence Artificielle pour le service clients, en phase avec la stratégie de personnalisation de l'offre pour le public local.</t>
  </si>
  <si>
    <t>Expert IA Generative</t>
  </si>
  <si>
    <t>BPCE SA</t>
  </si>
  <si>
    <t>Direction Digital &amp; payments</t>
  </si>
  <si>
    <t>Projets transverses IA Génerative</t>
  </si>
  <si>
    <t>Au sein de l’équipe Data &amp; IA, plusieurs projets visent à développer des solutions d’IA générative, aussi bien pour les collaborateurs internes que pour les clients. Ces solutions couvrent divers cas d’usage. En tant qu’experte en IA, j’interviens pour orienter les choix technologiques et algorithmiques afin d’assurer des solutions adaptées et performantes.</t>
  </si>
  <si>
    <t>Accompagnement sur le développement et la mise en production de deux projets : 1. Assistance client – Chatbot intelligent Développement d’un chatbot basé sur l’IA, conçu pour assister les clients du groupe et actuellement en phase de déploiement public. Au-delà de l’IA générative, la mise en place de cette solution a nécessité l’intégration de plusieurs briques technologiques essentielles pour garantir performance, sécurité et fiabilité : Détection d’intention (NLU) : meilleure compréhension des requêtes utilisateurs. Anonymisation : protection des données sensibles. Modération des entrées et sorties : filtrage des contenus inappropriés ou sensibles. Red teaming : identification et atténuation des risques de dérives ou de biais. Évaluation rigoureuse à froid et à chaud : mécanismes de test et de surveillance continue pour limiter les hallucinations et optimiser les réponses. 2. Analyse des comptes rendus d’entretien Ce projet vise à assister les conseillers en exploitant l’IA générative pour optimiser le suivi des entretiens avec les clients. Grâce à l’association de l’IA générative et des technologies de speech-to-text, les conseillers bénéficient : De comptes rendus automatiques et en temps réel de leurs échanges avec les clients. D’une identification automatique des indicateurs clés. 3. Analyse des rapports CSRD: Expérimentations sur la capacité des modèles d’IA d’extraire des informations à partir des déclarations CSRD.</t>
  </si>
  <si>
    <t>DATA</t>
  </si>
  <si>
    <t>Square Management est intervenu en tant qu'Expert IA Générative au sein de la Direction Digital &amp; payments de BPCE SA, dans le contexte de développement de solutions d’IA générative pour les collaborateurs et les clients. Le rôle a consisté à orienter les choix technologiques et algorithmiques pour garantir l'efficacité des solutions. La mission a inclus l'accompagnement sur deux projets majeurs : le déploiement d’un chatbot intelligent pour l'assistance client, et l'analyse de comptes rendus d’entretien pour les conseillers utilisant l'IA générative et le speech-to-text.</t>
  </si>
  <si>
    <t>Cœur technique</t>
  </si>
  <si>
    <t>Conseil en Innovation &amp; IA</t>
  </si>
  <si>
    <t>SG</t>
  </si>
  <si>
    <t>SEGL</t>
  </si>
  <si>
    <t>AI Innovation Product &amp; Project Management</t>
  </si>
  <si>
    <t>Au sein du Secretariat General Société Générale, la mission a consisté à structurer les initiatives de l’IA Office. Pour cela, un cadre de gouvernance et un processus d’expérimentation sur 5 temps a été mis en place pour faire passer les projets IA de l’idéation à l’industrialisation. Cette démarche a permis de prioriser et développer des cas d’usage GenAI à fort impact, testés via ce processus d’expérimentation. Des solutions IA GEN sont passés en production et ont été déployée au niveau wordlwide sur 130k users.</t>
  </si>
  <si>
    <t>1. POSER LES BASES DE FUTURS PROJETS IA POUR LA SEGL AU TRAVERS D’UNE GOUVERNANCE PROJET Établir un cadre transversal pour l’intégration de l’IA au sein de SEGL (gouvernance, coordindation, champions) Identifier les interlocuteurs clés, les projets existants, les compétences internes et les partenaires IA externes. 2. ANALYSER ET PRIORISER LES INITIATIVES IA DE SEGL Réaliser une cartographie des cas d’usage existants et des initiatives émergentes Définir une méthodologie d'expérimentation, priorisation basée sur la valeur business, la faisabilité technique, l’impact métier et l’alignement réglementaire. Préparer la feuille de route de développement IA pour 2024,2025 et 2026 incluant les jalons de prototypage, d’expérimentation et d’industrialisation. 3. INITIER ET CADRER LE DÉVELOPPEMENT D’UN CAS D’USAGE GENAI Sélection et cadrage d’un projet pilote GenAI pour le département juridique, de la sécurité interne, fiscalité... Définition des besoins fonctionnels, des jeux de données et des critères de performance. Développement d’un assistant IA démontrant la valeur ajoutée de la GenAIpourla productivité 4. STRUCTURATION DU PORTEFEUILLE D’INNOVATION Évaluation de la valeur business, faisabilité technique, de la désirabilité, et des risques inhérents de l'usage de l'IA Élaboration de feuilles de route d’industrialisation intégrant la dimension de conduite du changement. Passage en production sur un périmètre de +130 000 utilisateurs à l’échelle mondiale, avec une approche progressive par direction &amp; géographies. 5. ACCULTURATION, CHANGE ET COMMUNICATION INTERNE Organisation de sessions de formation, conférences et démonstrations GenAI Sensibilisation aux enjeux éthiques, réglementaires et techniques de l'IA</t>
  </si>
  <si>
    <t>Square Management est intervenu en tant que Conseil en Innovation &amp; IA au sein du Secrétariat Général de Société Générale (SG/SEGL), pour structurer l'IA Office. La mission a consisté à établir un cadre de gouvernance et un processus d'expérimentation pour l'industrialisation des projets IA. L'accent a été mis sur la priorisation et le développement de cas d'usage d'IA Générative (GenAI) à fort impact. Le rôle incluait le cadrage d'un projet pilote GenAI et la structuration du portefeuille d'innovation. Des solutions GenAI ont été déployées mondialement pour plus de 130 000 utilisateurs.</t>
  </si>
  <si>
    <t>PMO</t>
  </si>
  <si>
    <t>L'OREAL - Recherche &amp; Innovation</t>
  </si>
  <si>
    <t>Direction Recherche &amp; Innovation</t>
  </si>
  <si>
    <t>Transformation digitale - Recherche &amp; Innovation</t>
  </si>
  <si>
    <t xml:space="preserve">La Recherche et Innovation de l'OREAL mène une transformation digitale en profondeur, dont l'un des piliers; "Augmented Researchers", vise à renforcer les capacités d'innovation de ses laboratoires en intégrant le digital, la data et la technologie au coeur des ways of working des chercheurs. Un programme qui vient soutenir les ambitions L'OREAL FOR THE FUTURE (engagements à 2030 en matière de Sustainability) </t>
  </si>
  <si>
    <t>Accompagnement de 3 initiatives digitales : 1. Strategic Color Creation Ambition : équiper les Laboratoires d'une plateforme de visualisation et de sélection de la couleur pour les Méiers de la Coloration Capillaire et du Maquillage afin de proposer une expérience de formulation "augmentée" grâce à l'intégration d'un processus de détermination de points de départ pour la (re)formulation. 2. et 3. Fast Color for Foundation and Hair Ambition : réinventer la formulation des fonds de teint et capillaire grâce à des modèles d'IA prédictif et réduire par deux le TTM et répondre aux enjeux Green.  Activités sur ces initiatives : Co-construction des ambitions et de la valeur apportée : Enjeux, raison d'être, indicateurs de valeur (KVI avec la notion de valeur apportée aux utilisateurs finaux. Cadencement et accompagnement des phases de Framing, Build, Pilote et déploiement avec une notion de conduite de changement dans les laboratoires. Participe à la coordination d'une équipe pluridisciplinaire : product owners, data, algo, UX designers, coach agiles, architectes fonctionnels, UX Researcher, Responsables de Laboratoires, chimistes &amp; ingénieurs, Hubs internationaux (China, US), et autres Project leaders en adhérence. Gestion des risques Participe à l’organisation et à l’animation de la gouvernance, préparation des PI, supports à destination des sponsors.</t>
  </si>
  <si>
    <t>Organisation &amp; Efficiency</t>
  </si>
  <si>
    <t>Square Management est intervenu en tant que PMO au sein de la Direction Recherche &amp; Innovation de L'OREAL, dans le cadre du programme "Augmented Researchers" visant à intégrer le digital, la data et la technologie.
La mission se concentre sur l'accompagnement d'initiatives digitales, dont la réinvention de la formulation de fonds de teint et capillaire via des modèles d'IA prédictif.
Ce projet a pour objectif de réduire le Time-to-Market (TTM) et de répondre aux enjeux Green de L'OREAL.
Le rôle a impliqué la co-construction des ambitions, le cadencement des phases de projet (Framing, Build, Pilote, déploiement) et la coordination d'une équipe pluridisciplinaire (data, algo, Product Owners).</t>
  </si>
  <si>
    <t>Manager Transformation et Innovation</t>
  </si>
  <si>
    <t>ENGIE</t>
  </si>
  <si>
    <t>Direction Grand Public</t>
  </si>
  <si>
    <t>Cadrage projets IA et mise en place d'une IA Factory UX</t>
  </si>
  <si>
    <t>Engie a lancé un vaste programme interne afin de promouvoir l'innovation et l'utilisation de l'intelligence artificielle au sein de toutes les directions du Groupe. Notre client à la Direction UX nous a sollicité afin de déployer les bonnes pratiques d'innovation, accompagner ses collaborateurs et penser une organisation efficace permettant de répondre aux enjeux du programme Groupe.</t>
  </si>
  <si>
    <t>Réalisation d'un diagnostic et état des lieux : 1/ des initiatives IA et IAG dans la délégation 2/ des compétences IA et IAG Design et déploiement d'une nouvelle organisation "IA FACTORY" pour plus d'efficacité et création de la valeur Acompagnement pour le cadrage de 2 initiatives majeures : 1/ Coach Facture et consommation 2/ Analyse des conversations des conseillers</t>
  </si>
  <si>
    <t>Square Management est intervenu en tant que Manager Transformation et Innovation auprès de la Direction Grand Public d'ENGIE, dans un contexte de promotion de l'innovation et de l'Intelligence Artificielle (IA) au sein du Groupe. La mission visait à déployer les bonnes pratiques d'innovation et à concevoir une organisation efficace.
Le rôle a consisté à réaliser un diagnostic des initiatives et des compétences IA/IAG, et à concevoir et déployer une "IA FACTORY" pour maximiser l'efficacité. Il a également assuré le cadrage d'initiatives majeures basées sur l'IA, comme "Coach Facture et consommation" et l'analyse des conversations des conseillers.</t>
  </si>
  <si>
    <t>Data scientist</t>
  </si>
  <si>
    <t>Data Scientist</t>
  </si>
  <si>
    <t>Depuis septembre 2024, Emma a intégré pour sa dernière année de master une équipe de Data Scientist à la Société Générale au sein du pôle d’architecture technique. Ce pôle est chargé de développer des solutions innovantes d’aide à la décision basées sur des modèles avancés de traitement de la donnée et du langage naturel. Cette mission s’est inscrite dans une démarche de valorisation de données non structurées et de soutien à la transformation digitale de la banque.</t>
  </si>
  <si>
    <t>Emma a été chargée de concevoir et développer des solutions d’intelligence artificielle, principalement basées sur des technologies de LLMs (Large Language Models), pour extraire et restituer de la valeur à partir de données textuelles non structurées. Elle a collaboré avec les métiers et des data scientists pour identifier les cas d’usage pertinents, construire des pipelines de traitement et déployer des outils de génération automatique de documents, commentaires ou réponses contextuelles.  Objectifs : - Comprendre les enjeux et besoins métiers - Identifier les données pertinentes et travailler à leur collecte - Développer des solutions d’intelligence artificielle répondant aux exigences métiers - Communiquer les résultats des analyses de données aux métiers - Documenter les travaux et faire de la veille sur les sujets de Data Science  Réalisation : - Analyse des besoins métier et élaboration de protocoles de développement sur mesure pour des projets d’intelligence artificielle et de data science. - Conception d’un jeu de données axé sur l’analyse des sentiments, destiné à l’entraînement de modèles prédictifs pour anticiper les performances et les tendances d’un portefeuille d’actifs financiers, à partir de données collectées via web scraping et document interne. - Développement d’une solution de génération de documentation interne à partir de plusieurs sources de données avec l’aide d’agents IA - Développement d’un outil de génération de commentaires macroéconomiques automatisés pour les gérants d’actifs, basé sur des modèles LLMs et un pipeline d’évaluation. - Implémentation de chatbots internes (projets Harmonie, Dora) intégrant les bases de connaissances internes. - Veille technologique active et expérimentation de nouvelles technologies.</t>
  </si>
  <si>
    <t>Square Management est intervenu en tant que Data scientist au sein du pôle d’architecture technique de la DSI de SOCIETE GENERALE, pour développer des solutions innovantes d'aide à la décision. La mission s'est concentrée sur la valorisation de données non structurées et le soutien à la transformation digitale de la banque. Le rôle a impliqué la conception et le développement de solutions d’Intelligence Artificielle basées principalement sur les LLMs (Large Language Models), en collaboration avec les métiers. Les réalisations majeures incluent le développement d'outils de génération automatique de documents/commentaires (pour gérants d'actifs) et l'implémentation de chatbots internes intégrant des bases de connaissances.</t>
  </si>
  <si>
    <t>PMO / Chef de projet transverse</t>
  </si>
  <si>
    <t>DATA &amp; IA</t>
  </si>
  <si>
    <t>Pilotage de Direction</t>
  </si>
  <si>
    <t>Rattaché au Directeur Pilotage, réglementaire et Éthique, j’ai occupé le poste de PMO Pilotage Data &amp; IA avec pour mission de créer un cadre de pilotage de la direction DATA &amp; IA et garantir le suivi opérationnel des sujets transverses de cette Direction. J’ai travaillé en étroite collaboration avec l’ensemble des équipes Data &amp; IA, filières du groupes, mais aussi avec plusieurs équipes du Pôle Digital &amp; Payments (équipe Transformation Digitale, équipe DRCM, équipe Finance, équipe Transformation), ainsi qu’avec les équipes BPCE SI.</t>
  </si>
  <si>
    <t>Pilotage budgétaire :
Organiser et piloter le suivi budgétaire de la Direction Data &amp; IA et assurer la coordination avec les équipes de BPCE SI des instances budgétaires (CMTD Data)
Contribuer à préparer l'exercice budgétaire 2026 projets IT Suivi des Projets de la Direction : 
Création d'une base documentaire de suivi et assurer le suivi des projets de la Direction Data &amp; IA à travers les fiches projets
Préparer la revue mensuelle des projets pour les différents comités de direction Suivi des KPIs et indicateurs de performances : Créer et déployer un tableau de bord transverse, relancer les PO remontant des indicateurs, mise à jour des publications avec les bons indicateurs. PMO : Organiser et animer les rituels de la Direction pour favoriser la collaboration et l'engagement des équipes: Jeudi Data &amp; IA, séminaire semestriel Projets transverses: 
Poursuite des travaux d'amélioration de notre classement au ranking Evident AI
Travaux de veille pour synthèse mensuelle
Préparation de diverses instances de la direction Digital &amp; Paiements</t>
  </si>
  <si>
    <t>Square Management est intervenu en tant que PMO / Chef de projet transverse au sein de la Direction DATA &amp; IA de BPCE, afin de créer un cadre de pilotage et d'assurer le suivi opérationnel des sujets transverses de la Direction Data &amp; IA. Le rôle a consisté à piloter le budget, le suivi des projets et des KPIs de la Direction Data &amp; IA. Il a également contribué aux projets transverses, notamment la veille et les travaux d'amélioration du classement Evident AI.</t>
  </si>
  <si>
    <t>PMO Stratégique</t>
  </si>
  <si>
    <t>Direction de la transformation</t>
  </si>
  <si>
    <t>epuis janvier 2023, j’interviens en tant que PMO senior Transformation &amp; Conformité au sein de la Direction de la Transformation d’un grand groupe bancaire. Cette mission stratégique s’inscrit dans un contexte de fortes exigences réglementaires (ACPR, AMLR), de transformation data/IA et de renforcement des dispositifs de conformité LCBFT. Dans ce cadre, je joue un rôle de bras droit de la Direction, avec la responsabilité d’un portefeuille de 13 projets stratégiques couvrant les volets réglementaires (KYC, Profil de Risque, QLB, COSI, Scénarios LCBFT), la donnée client 360° et la lutte anti-doublons, ainsi que l’intégration de cas d’usage IA pour automatiser et fiabiliser la chaîne de conformité</t>
  </si>
  <si>
    <t>Bras droit de la Direction, je pilote un portefeuille de 13 projets stratégiques à forts enjeux réglementaires, data et IA (ACPR, AMLR, plan de transformation groupe). Supervision de projets réglementaires (KYC, Profil de Risque, QLB, COSI, Scénarios LCBFT, C360, Lutte Anti-Doublons) avec un focus sur la qualité des données, l’automatisation et la conformité aux exigences du régulateur. Cadrage et déploiement de cas d’usage IA (détection d’anomalies, priorisation intelligente, modèles de profiling client). Contribution clé au programme AMLR Groupe : coordination métier, IT, data et juridique, production de livrables réglementaires. Pilotage budgétaire multi-projets (plusieurs M€), reporting COMEX/CODIR, gouvernance transverse, coordination de 21 profils pluridisciplinaires.</t>
  </si>
  <si>
    <t>Square Management est intervenu en tant que PMO Stratégique senior Transformation &amp; Conformité auprès de LA BANQUE POSTALE (Direction de la transformation).
La mission stratégique s'inscrit dans un contexte de fortes exigences réglementaires (ACPR, AMLR) et de transformation data/IA pour le renforcement des dispositifs de conformité LCBFT.
Le rôle consistait à piloter un portefeuille de 13 projets stratégiques, dont l'intégration de cas d’usage IA.
Cela inclut le cadrage et le déploiement de solutions d’IA (détection d’anomalies, priorisation intelligente, modèles de profiling client) pour automatiser et fiabiliser la chaîne de conformité.
Le consultant a agi comme bras droit de la Direction sur ces enjeux, assurant le pilotage budgétaire et le reporting.</t>
  </si>
  <si>
    <t>Chef de projet transverse – Transformation réglementaire et organisationnelle</t>
  </si>
  <si>
    <t>CAL&amp;F (Crédit Agricole)</t>
  </si>
  <si>
    <t>Direction de la Transformation</t>
  </si>
  <si>
    <t>Programme E-Facture</t>
  </si>
  <si>
    <t>La mise en place de la facturation électronique s’inscrit dans le cadre de la directive européenne VIDA. Dès septembre 2026, toutes les entreprises françaises devront émettre et recevoir l’ensemble de leurs factures sous format dématérialisé. Ce projet réglementaire poursuit deux objectifs majeurs : renforcer la lutte contre la fraude à la TVA et simplifier les obligations déclaratives. Le cahier des charges, évolutif selon certains cas d’usage, s’aligne sur les publications nationales et les travaux de place (AFNOR, ASF, FBF).  Cela implique la transformation des entreprises à travers : la modernisation des obligations déclaratives via le e-reporting et le e-invoicing, la mise à jour et la clarification des règles de TVA, notamment pour les plateformes en ligne, l’instauration d’un enregistrement unique à la TVA au sein de l’UE.  Dans ce contexte représentant de forts enjeux réglementaires, technologiques et organisationnels majeurs, CAL&amp;F a lancé dès septembre 2022 un programme dédié afin de mettre en conformité ses activités de facturation (Crédit-Bail et Affacturage). Square accompagne le Directeur du Programme dans le suivi et le déploiement de cette transformation transverse (métiers, filiales internationales et Olinn) afin d’anticiper les impacts, structurer la démarche projet et accompagner les parties prenantes vers une adoption fluide et efficace. Les enjeux du programme portent sur la conformité réglementaire, le respect des jalons, l’efficacité opérationnelle, la coordination des acteurs et la conduite du changement.</t>
  </si>
  <si>
    <t>1/ Pilotage &amp; coordination transverse Élaborer un référentiel de pilotage commun aux 6 chantiers. Préparer les supports d’instances (CODIR, COPIL, COSUI). Suivre les KPI : planning, conformité, budgets, risques, tests. Cartographier les projets en adhérence avec l’E-Facture et définir des plans de coordination pour éviter les redondances. Coordonner les échanges entre directions métiers, IT et parties prenantes réglementaires.  2/ Processus cibles &amp; efficacité opérationnelle Animer des ateliers métiers :  définition des processus, stratégie d’onboarding partenaires, intégration des usages de l’IA. Proposer des scénarios de mise en conformité adaptés aux contraintes de CAL&amp;F Produire des dossiers de synthèse pour la prise de décision (ex. optimisation du processus Crédit-Bail via l’IA).  3/ Conduite du changement &amp; adoption Définir et suivre les KPI de conduite du changement. Mettre en place un RACI pour sécuriser la phase de déploiement et les tests. Identifier les évolutions et impacts par population. Co-construire les supports de formation avec les métiers.</t>
  </si>
  <si>
    <t>Transformation &amp; Change</t>
  </si>
  <si>
    <t>Square Management est intervenu en tant que Chef de projet transverse sur le "Programme E-Facture" de CAL&amp;F, visant la mise en conformité réglementaire avec la directive européenne VIDA (facturation électronique). La mission impliquait de piloter et coordonner la transformation transverse (métiers, IT) et la conduite du changement. Le rôle a inclus l'analyse de l'intégration des usages de l'Intelligence Artificielle (IA) dans les processus cibles et l'optimisation du processus Crédit-Bail via l'IA. Cette démarche anticipative visait à structurer le projet et assurer une adoption fluide.</t>
  </si>
  <si>
    <t>Innovation Strategy</t>
  </si>
  <si>
    <t>CREDIT AGRICOLE</t>
  </si>
  <si>
    <t>CAPFM - Head of Innovation &amp; CTO</t>
  </si>
  <si>
    <t>Stratégie IA</t>
  </si>
  <si>
    <t>CAPFM a engagé une transformation d’ampleur en plaçant l’IA au cœur de sa stratégie d’innovation. Pour structurer cette dynamique, le programme AI Connect est conçu comme le socle transverse d’orchestration, d’expérimentation et d’industrialisation de toutes les initiatives IA des 7 marques et entités du groupe au niveau européen. Dans ce contexte, Square Management réalise le diagnostic de maturité IA de l’ensemble des entités puis la montée en puissance du dispositif avec un cadrage end-to-end sur les dimensions stratégiques, opérationnelles et techniques</t>
  </si>
  <si>
    <t>1. DIAGNOSTIC STRATÉGIQUE IA GROUPE Réalisation d’un état des lieux détaillé de l’existant et des besoins en IA dans chaque entité. Cartographie des projets, technologies, gouvernance, compétences, ressources. Identification des écarts de maturité, opportunités de mutualisation et axes de renforcement.  2. FORMALISATION DES AMBITIONS IA GROUPE Définition de l’ambition cible IA et proposition d’un positionnement clair d’AI Connect: KPIs stratégiques (industrialisation, adoption, ROI). Création de l'offre de services (cadrage, MVP, industrialisation, acculturation embarquée) Positionnement de la proposition de valeur de l’AI Connectvs autres acteurs internes.  3. CONCEPTION DU TARGET OPERATING MODEL DE L'IA CONNECT Définition d’un cadre de gouvernance robuste et évolutif avec des instances, rôles, responsabilités, coordination inter-équipes. Mécanismes de pilotage des projets d'innovation IA (KPI/KRI) Opérationnalisation de l'offre de servicespour servir les entités du groupe.  4. ÉLABORATION D’UNE FEUILLE DE ROUTE MACRO IA CONNECT Construction d’une trajectoire opérationnelle réaliste : Jalons et chantiers prioritaires, Identification des moyens à mobiliser, Séquençage pour montée en puissance progressive du dispositif.</t>
  </si>
  <si>
    <t>Square Management est intervenu en tant qu'Innovation Strategy pour CREDIT AGRICOLE (CAPFM) afin de structurer la dynamique de l'Intelligence Artificielle, placée au cœur de sa stratégie d'innovation via le programme transverse "AI Connect". Le rôle a consisté à réaliser un diagnostic de maturité IA pour l'ensemble des entités du groupe, puis à concevoir le dispositif. Cela a inclus la formalisation de l'ambition IA Groupe, la définition du Target Operating Model d'AI Connect, et l'élaboration d'une feuille de route macro pour la montée en puissance progressive du dispositif d'orchestration, d'expérimentation et d'industrialisation des initiatives IA.</t>
  </si>
  <si>
    <t>Directeur de projet</t>
  </si>
  <si>
    <t>NATIXIS CIB</t>
  </si>
  <si>
    <t>COO Natixis CIB</t>
  </si>
  <si>
    <t xml:space="preserve">Cadrage du TOM DATA MANAGEMENT au sein du COO </t>
  </si>
  <si>
    <t>Le programme FRM (Future Ready Manufacturing) de Natixis vise à industrialiser et optimiser les dispositifs organisationnels des opérations liés aux activités de Global Banking et de Global Markets  au sein du  COO de Natixis (Chief Operating Officer). Le périmètre adressé est international (EMEA, APAC et US). Dans ce cadre, la gestion de la donnée est considérée comme un levier majeur pour l'optimisation des processus. Elle doit par ailleurs profiter des évolutions technologiques, tout en répondant aux exigences réglementaires.</t>
  </si>
  <si>
    <t>Dans ce  contexte, le COO lance un projet de Data Management pour répondre aux enjeux suivants : Optimisation de la qualité des données Maîtrise du risque opérationnel Capitalisation sur les usages de l'IA Soutien des ambitions d'efficacité opérationnelle  Le projet s'articule autour de quatre objectifs principaux : Analyser l'organisation existante du Data Management au sein du périmètre COO : comprendre les irritants, analyser les pratiques et revoir la documentation du DMF (Data Management Framework). Définir le TOM (Target Operating Model) Data du COO : nouvelle organisation, missions du Data Management, rôles et responsabilités, et gouvernance des équipes. Préciser les méthodologies de Data Management : identification des CDE (Critical Data Elements), data quality, data lineage, data controls et reporting. Définir la roadmap d'implémentation et le plan de conduite du changement. Mon rôle Garant de la méthodologie: TOM, Data Management Apport d'expertise sur le Data Management Péparation et revue des comités En charge de la roadmap d'implémentation</t>
  </si>
  <si>
    <t>Square Management est intervenu en tant que Directeur de projet chez NATIXIS CIB pour le cadrage du Target Operating Model (TOM) Data Management au sein du COO.
Ce projet s'inscrit dans le programme FRM visant à optimiser les dispositifs organisationnels des opérations Global Banking et Global Markets.
L'objectif principal était de définir la nouvelle organisation et les méthodologies de Data Management, en capitalisant notamment sur les usages de l'Intelligence Artificielle (IA) et en soutenant les ambitions d'efficacité opérationnelle.
Le rôle comprenait la garantie de la méthodologie TOM/Data Management, l'apport d'expertise, et la définition de la roadmap d'implémentation.
La gestion de la donnée est vue comme un levier majeur pour l'optimisation des processus et doit intégrer les évolutions technologiques.</t>
  </si>
  <si>
    <t>Senior Manager</t>
  </si>
  <si>
    <t>Square Management</t>
  </si>
  <si>
    <t xml:space="preserve">Corporate Square Management </t>
  </si>
  <si>
    <t>Anticipation et gestion des risques éthiques et juridiques liés aux données et à l’IA</t>
  </si>
  <si>
    <t>Le cabinet de conseil en stratégie et organisation, Square Management, qui compte 900 collaborateurs et opère dans 10 domaines d'excellence a mis en œuvre d'un Système d'Intelligence Artificielle (SIA) pour améliorer le matching entre les besoins des missions et les profils des consultants. Le SIA est au stade de "Proof of Concept" (POC). La mission avait pour objectif d'élaborer et de mettre en œuvre un cadre méthodologique garantissant une utilisation responsable du SIA de matching de profils, en assurant la conformité aux obligations légales et éthiques dès la phase de POC.</t>
  </si>
  <si>
    <t>•Cadre méthodologique : Définir et implémenter un cadre intégrant les principes d'"Ethics by Design" et "Compliance by Design" dès la conception du système. •Conformité légale et éthique : Appliquer la législation en vigueur (cadre européen, français et sectoriel), notamment le RGPD, l'AI Act (le SIA étant considéré à haut risque), le droit du travail, les droits fondamentaux, le Manifeste Syntec Conseil, et les normes ISO 42001/27001. •Évaluation et atténuation des risques : Identifier, évaluer et minimiser les risques éthiques et juridiques (tels que les biais potentiels dans les données, l'exclusion d'individus, le besoin d'explicabilité, les questions de responsabilité, la sécurité des données, les risques psychosociaux). •Gouvernance éthique : Concevoir et mettre en place une gouvernance éthique pour l'utilisation et le déploiement de l'IA avec la désignation claire de rôles et responsabilités, et rédiger une charte éthique. •Transparence et explicabilité : Promouvoir la transparence et l'explicabilité des algorithmes d'IA en intégrant des modules XAI (Explainable AI) et en fournissant des justifications lisibles des décisions du SIA. •Supervision humaine : Assurer une intervention humaine significative dans le processus décisionnel final, garantissant pertinence et équité.</t>
  </si>
  <si>
    <t>Square Management est intervenu en tant que Senior Manager sur la mission "Anticipation et gestion des risques éthiques et juridiques liés aux données et à l’IA", pour son propre Système d'Intelligence Artificielle (SIA) de matching de profils, actuellement en POC.
Le contexte était d'établir un cadre méthodologique pour une utilisation responsable du SIA, afin de garantir la conformité aux obligations légales et éthiques (RGPD, AI Act, droit du travail) dès la phase de conception.
Le rôle a consisté à définir et implémenter les principes d'"Ethics by Design" et "Compliance by Design".
Ceci incluait l'évaluation et l'atténuation des risques éthiques/juridiques (biais, explicabilité, sécurité) et la mise en place d'une gouvernance éthique de l'IA (charte, rôles).
La mission a également promu la transparence via l'intégration de modules XAI et l'assurance d'une supervision humaine.</t>
  </si>
  <si>
    <t>Expert IA et conformité réglementaire</t>
  </si>
  <si>
    <t>CREDIT AGRICOLE LEASING AND FACTORING</t>
  </si>
  <si>
    <t>Direction Transformation et Data Performance</t>
  </si>
  <si>
    <t>Acculturation Intelligence Artificielle (IA)</t>
  </si>
  <si>
    <t>Dans le cadre du partenariat stratégique avec CAL&amp;F, Square Management est le partenaire principal des équipes métier et est en charge de la transformation. Fort d'une expertise reconnue dans le secteur, Square Management a initié un atelier sur l'Intelligence Artificielle (IA). L'objectif global de cette initiative était de démystifier l'IA et l'IA Générative et de la rendre concrète pour les collaborateurs de CAL&amp;F. L'atelier visait à les accompagner dans la compréhension et l'adoption de ces technologies, en explorant leurs capacités, limites et risques, et en analysant des applications concrètes pour identifier les prochaines étapes de déploiement à l'échelle.</t>
  </si>
  <si>
    <t>J'ai activement participé et animé cet atelier d'acculturation à l'IA Générative, événement clé dans la stratégie de transformation numérique de CAL&amp;F. Cette mission visait à : • Différencier l'IA classique de l'IA Générative et à en explorer les capacités, limites et risques. Nous avons notamment abordé l'évolution de l'IA , en détaillant les rôles principaux de l'IA "classique" et de l'IA Générative. Des concepts clés comme les Systèmes d'Intelligence Artificielle (SIA), les Large Language Models (LLM), le Retrieval-Augmented Generation (RAG) et les Agents en IA ont été expliqués en profondeur. • Plonger dans des usages pratiques et concrets de l'IA, notamment ceux déjà identifiés ou en expérimentation chez CAL&amp;F ainsi que chez Sqaure Management. • Aborder les risques, limites et la frugalité de l'IA, en mettant l'accent sur la gestion des "hallucinations" des LLM. Nous avons également discuté des risques éthiques et sociaux/environnementaux  ainsi que du cadre légal s'adaptant à l'IA (AI Act, RGPD, DGA, CS3D, Droit du travail et CNIL). • Co-construire de nouvelles pistes d'application d'IA, notamment à travers un brainstorming collectif pour concevoir les fondations d'un outil d'IA Générative pour la gestion des mails clients. Cette session a permis d'identifier la valeur ajoutée attendue, le choix des approches, l'identification des parties prenantes et des données nécessaires, ainsi que les préoccupations de sécurité et les règles juridiques et éthiques (RGPD, IA Act) à respecter dès la conception.</t>
  </si>
  <si>
    <t>Square Management est intervenu en tant qu'Expert IA et conformité réglementaire chez CREDIT AGRICOLE LEASING AND FACTORING (CAL&amp;F) pour animer un atelier d'acculturation à l'Intelligence Artificielle et à l'IA Générative, dans le cadre de la stratégie de transformation numérique du client.
La mission visait à démystifier ces technologies, en explorant leurs capacités (LLM, RAG, Agents en IA), leurs limites et les risques associés (hallucinations, risques éthiques et sociaux, cadre légal comme l'AI Act).
Le rôle de Square Management était d'accompagner les collaborateurs dans la compréhension et l'adoption de l'IA.
Cela incluait la co-construction de nouvelles pistes d'application d'IA, telle qu'un outil d'IA Générative pour la gestion des mails clients, en intégrant les règles de sécurité et juridiques (RGPD, IA Act) dès la conception.
Ce travail permet à CAL&amp;F d'identifier les prochaines étapes de déploiement de l'IA à l'échelle.</t>
  </si>
  <si>
    <t xml:space="preserve">Chef de projet </t>
  </si>
  <si>
    <t>Direction de l'Engagement</t>
  </si>
  <si>
    <t>ESG AI Advisory</t>
  </si>
  <si>
    <t>Dans le cadre de sa stratégie de valorisation des données ESG de ses clients, et en prévision de la publication à venir des rapports CSRD, BNPP souhaite renforcer l’accompagnement des Relationship Managers PME et ETI. L’objectif est de leur fournir les outils nécessaires pour aborder efficacement les enjeux ESG avec leurs clients et identifier ainsi des opportunités commerciales. À cette fin, un projet de développement d’une solution d'intelligence artificielle est mis en place. Cette solution, en exploitant les données clients et de référentiels externes, permettra de générer des pitches personnalisés, facilitant la prise en main des enjeux ESG et l’identification de nouvelles opportunités commerciales.</t>
  </si>
  <si>
    <t>La mission consiste à comprendre et faire converger les besoins et attentes des Relationship Managers de 5 entités de banque de détails distinctes (France, Italie, Belgique, Pologne et Luxembourg) ainsi que BNP CIB, à travers notamment :
- Atelier de définition des besoins utilisateur (objectifs, format, contenu) - Mapping des sources documentaires pertinentes (référentiels européens et internationaux, internes, législations applicables par pays...) - Définition des logiques d'analyse de l'intelligence artificielle (lecture et compréhension de matrice de matérialité, de KPIs ESG, de benchmarks...) - Ateliers de prompt engineering en lien étroit avec l'équipe de développement 
- Testings des modèles de RAG - Analyse d'écart entre les rapports produits par l'IA et ceux réalisés par des experts ESG - Préparation des dossiers pour Design Autority</t>
  </si>
  <si>
    <t>Growth &amp; Innovation</t>
  </si>
  <si>
    <t>Square Management est intervenu en tant que Chef de projet auprès de BNP PARIBAS (Direction de l'Engagement) sur le projet "ESG AI Advisory".
Le contexte est le renforcement de l’accompagnement des Relationship Managers PME et ETI sur les enjeux ESG, via le développement d’une solution d'intelligence artificielle pour générer des pitches personnalisés.
La solution utilise l'IA pour analyser les données clients et référentiels externes afin d'identifier des opportunités commerciales.
Le rôle a consisté à faire converger les besoins des Relationship Managers de 5 entités et BNP CIB, définir les logiques d'analyse de l'IA, et réaliser des ateliers de prompt engineering et des tests de modèles RAG.</t>
  </si>
  <si>
    <t>Chef de projet stratégique IA</t>
  </si>
  <si>
    <t>Direction Juridique et Réglementaire</t>
  </si>
  <si>
    <t>Définir la vision et les objectifs alignés sur la stratégie de l’entreprise, à analyser les besoins métiers et technologiques, et à identifier les opportunités d’usage de l’IA à forte valeur ajoutée.</t>
  </si>
  <si>
    <t>Définir la vision et la feuille de route IA
→ Analyse approfondie de vos enjeux métiers et technologiques, identification des cas d’usage prioritaires et élaboration d’une trajectoire alignée avec vos objectifs stratégiques. Piloter le projet
→ Coordination des parties prenantes, planification des étapes clés, suivi des livrables et respect des délais pour garantir une exécution fluide et maîtrisée. Maximiser la valeur créée par l’IA
→ Sélection des solutions les plus adaptées, évaluation de leur impact business et mesure des bénéfices pour orienter les décisions avec des données tangibles. Accompagner la conduite du changement
→ Implication des équipes métiers et IT, transfert de compétences et mise en place de bonnes pratiques pour assurer une adoption durable. Sécuriser la réussite de vos initiatives IA
→ Anticipation des risques, recommandations stratégiques et ajustements en continu pour transformer l’IA en véritable levier de performance et d’innovation.</t>
  </si>
  <si>
    <t>Square Management est intervenu en tant que Chef de projet stratégique IA au sein de la Direction Juridique et Réglementaire de SOCIETE GENERALE. La mission visait à définir la vision et la feuille de route stratégique pour l’usage de l’Intelligence Artificielle (IA). Le rôle a consisté à analyser les besoins métiers et technologiques, identifier les opportunités d’usage de l’IA à forte valeur ajoutée, et maximiser la valeur créée par l'IA via la sélection et l'évaluation de solutions adaptées. Square Management a également assuré le pilotage du projet et l'accompagnement au changement pour sécuriser la réussite des initiatives IA.</t>
  </si>
  <si>
    <t>CHEF DE PROJET INNOVATION</t>
  </si>
  <si>
    <t>AKTO</t>
  </si>
  <si>
    <t>DIRECTION GENERALE DES OPERATIONS + DSI</t>
  </si>
  <si>
    <t>PROGRAM LEADER IA GENERATIVE, REFONTE PORTAIL SI, MIGRATION ERP</t>
  </si>
  <si>
    <t>Rattaché à la Direction Générale des Opérations (supervisant la DSI), il a été missionné pour accélérer la livraison de projets stratégiques dans un contexte post-fusion, en agissant comme levier principal d’exécution pour obtenir des résultats rapides et mesurables et en initiant la direction stratégique en IA Générative. Son rôle a également inclus la conception et le déploiement de dispositifs de continuité d’activité de gestion en situation de crise cyber, garantissant la résilience opérationnelle. NB: AKTO est une institution gouvernementale mandatée pour gérer les fonds publics dans le développement de la formation continue de 27 branches professionnalisantes (ex: Aviation, Sécurité, Commerce de gros…)</t>
  </si>
  <si>
    <t>Pilotage de la transformation digitale du portail de gestion SI (600k€) avec une approche hybride Agile/Cycle en V, via l’outil Monday incluant un suivi via Gantt dynamiques et alertes automatisées : Mise en place d’un reporting exécutif et suivi budgétaire (EVM) permettant d’anticiper les dérives et de sécuriser la prise de décision stratégique. Animation des comités projet et SteerCo, assurant une coordination transverse et une communication claire auprès de la direction. Accompagnement des utilisateurs internes et externes via formations digitales (webinaires, tutoriels vidéo, quiz interactifs), renforçant l’appropriation et l’autonomie.  Élaboration stratégique et opérationnelle d’une feuille de route IA Générative via une approche complémentaire top-down/bottom-up (ADKAR/Kotter) structurée : Diagnostic métiers en entretiens individuels et groupés suivant un guide adapté, édition d’une cartographie BP associée, permettant d’identifier les forces et faiblesses des processus en place. Recueil et priorisation des besoins métiers via ateliers Design Sprint, formalisation des spécifications et prototypages avec indicateurs de priorisation via une matrice Impact/Value. Conduite d’une campagne d’adoption interne multicanal (Teams, newsletters, tutoriels PDF), avec mesure d’impact et suivi dans Power BI.  Pilotage de la migration SAP SAC vers POWER BI : Conception d’une architecture décisionnelle centralisée, incluant un dictionnaire partagé et un comité de gouvernance data pour fiabiliser les indicateurs.</t>
  </si>
  <si>
    <t>Square Management est intervenu en tant que Chef de projet Innovation au sein de la Direction Générale des Opérations (DSI) d'AKTO, dans un contexte post-fusion visant à accélérer les projets stratégiques. La mission principale était d'initier et d'élaborer la direction stratégique en IA Générative. Le rôle a inclus le pilotage d'une feuille de route IA Générative, structurée par des diagnostics métiers et la priorisation des besoins (Design Sprint). Il a également assuré le pilotage de la transformation digitale du portail SI et la migration de la BI vers Power BI, avec un accent sur l'adoption interne de l'IA.</t>
  </si>
  <si>
    <t>Consultant</t>
  </si>
  <si>
    <t>Data IA</t>
  </si>
  <si>
    <t>Retranscription d'appels téléphoniques via l'IA</t>
  </si>
  <si>
    <t>Afin d'analyser rapidement et facilement les chances de recouvrement lors d'appels téléphoniques de conseiller bancaire l'utilisation de l'IA est indispensable.</t>
  </si>
  <si>
    <t>Création d'une application de retranscription et d'analyse d'audio Objectif : Analyse d'appels téléphoniques pour du recouvrement  Enregistrement d'appels téléphoniques traitant de différents thèmes pouvant impacter les chances de recouvrement (mariage, décès, maladie grave, fraude...) Utilisation d' Azure Open AI afin de retranscrire les appels téléphoniques sélectionnés Journalisation de l'appel (on sépare et on attribue les différentes phrases aux personnes concernées) Analyse du texte retranscrit Création d'une interface streamlit avec ajout d'une possibilité d'analyser personnellement l'audio Ajout d'un graphique pour les réponses quantitatives et d'un tableau pour les réponses qualitatives</t>
  </si>
  <si>
    <t>Square Management est intervenu en tant que Consultant sur un projet interne Data IA, ayant pour objectif la retranscription et l'analyse d'appels téléphoniques pour évaluer les chances de recouvrement. L'utilisation de l'Intelligence Artificielle était indispensable pour analyser rapidement les conversations des conseillers bancaires. Le rôle a consisté à créer une application utilisant Azure Open AI pour retranscrire et journaliser les appels sélectionnés, puis analyser le texte. Le livrable incluait une interface Streamlit permettant l'analyse personnelle et la présentation des réponses quantitatives et qualitatives.</t>
  </si>
  <si>
    <t>Project Manager</t>
  </si>
  <si>
    <t>CREDIT AGRICOLE CONSUMER FINANCE</t>
  </si>
  <si>
    <t>Direction de l'innovation</t>
  </si>
  <si>
    <t>Projet de transformation - Programme IA Connect</t>
  </si>
  <si>
    <t>CA Personal Finance Mobility (CA PFM) a engagé une transformation numérique d’envergure, plaçant l’IA générative au cœur de sa stratégie d’innovation. Le programme AI Connect constitue le socle transverse de mutualisation, d’orchestration et d’industrialisation des initiatives IA du groupe. Square Management a été mandaté pour cadrer et structurer le dispositif. En tant que manager, j’ai conduit la phase 1 du programme, pilotant le cadrage stratégique, opérationnel et technique en coordination avec les directions Data, IT et Innovation.</t>
  </si>
  <si>
    <t>Cadrer &amp; Lancer IA connect (stratégie de développement IA GEN) : Diagnostic stratégique IA Groupe : réalisation d’un état des lieux complet des projets, technologies et gouvernances locales ; cartographie des usages, des compétences et des ressources ; identification des écarts de maturité, des opportunités de mutualisation et des leviers de montée en puissance. Formalisation de l’ambition IA Groupe et positionnement d’AI Connect : définition d’une vision cible commune, d’une offre de services claire (cadrage, MVP, industrialisation, acculturation embarquée) et d’indicateurs de pilotage (KPI : industrialisation, adoption, ROI). Conception du modèle opérationnel et de gouvernance : structuration d’un cadre robuste et évolutif précisant rôles, instances, responsabilités et processus ; création d’un dispositif de coordination inter-équipes et d’un système de suivi par KPI/KRI.
 Élaboration de la feuille de route macro : définition des jalons de mise en œuvre, priorisation des chantiers, séquençage des livrables et évaluation des moyens à mobiliser pour garantir une montée en puissance progressive du dispositif.  Livrables clés : cartographie des cas d’usage, analyse de maturité IA gen, manifeste AI Connect, modèle de gouvernance, référentiel KPI/KRI, tableau de bord de pilotage, roadmap d'implémentation</t>
  </si>
  <si>
    <t>Entreprise &amp; Finance durables</t>
  </si>
  <si>
    <t>Square Management est intervenu en tant que Project Manager auprès de CREDIT AGRICOLE CONSUMER FINANCE (Direction de l'innovation) pour structurer le programme transverse "AI Connect", socle d'orchestration et d'industrialisation des initiatives d'IA générative du groupe.
Le contexte est la transformation numérique d'envergure plaçant l'IA générative au cœur de la stratégie d'innovation.
Le rôle a consisté à piloter la phase 1 du programme, assurant le cadrage stratégique, opérationnel et technique du dispositif IA.
Cela a inclus la réalisation d'un diagnostic stratégique, la définition de l'ambition IA Groupe et la conception du modèle de gouvernance pour le déploiement de l'IA.
La mission a abouti à l'élaboration de la feuille de route pour garantir la montée en puissance progressive du dispositif IA.</t>
  </si>
  <si>
    <t>Interne</t>
  </si>
  <si>
    <t>Travaux internes</t>
  </si>
  <si>
    <t>Benchmark des méthodes, outils et modèles pour le RAG</t>
  </si>
  <si>
    <t>Avec l'essor des modèles de langages (LLM) et leur intégration croissante dans les systèmes d'information, les méthodes RAG (Retrieval-Augmented Generation) se sont imposées comme un levier clé pour améliorer la précision, la transparence et la personnalisation des réponses générées par l'IA. L'un des enjeux clés de cette technologie réside dans sa capacité à extraire et interpréter des données dans des éléments complexes (tableaux, images, graphiques, ...). de Ce projet vise à étudier et comparer les performances associées à diverses combinaisons de méthodes, outils et modèles qui composent l'architecture  RAG dans le cadre d'extraction d'information à partir de documents PDF.</t>
  </si>
  <si>
    <t>L'objectif est de produire un benchmark des résultats obtenus avec différentes méthodes, frameworks et modèles pour chacune des briques qui composent l'architecture RAG sur un jeu de données questions-réponses provenant de documents PDF aux strcutures complexes. Les étapes du projet sont : Constitution d'un jeu de données labélisées : Le jeu de données contient les questions, les réponses et une capture écran de la réponse dans le document OCR : Utilisation de différentes méthodes pour extraire les données textuelles des documents (llamaparse, extraction d'image + decription avec gpt-4o, pypdf, pymupdf) Embedding : Calcul des embeddings avec différents LLM Recherche sémantique : étude de différentes méthodes Prompt engineering : Définition des prompts qui serviront à la génération de la réponse et à l'analyse des résultats Génération et étude des résultats : génération des résultats avec toutes les combinaisons de paramètres et étude de la performance de chaque brique. L'ensemble de ce projet a été réalisé avec Python.</t>
  </si>
  <si>
    <t>Square Management est intervenu en tant que Data Scientist sur un projet interne visant à évaluer et comparer les performances des architectures RAG (Retrieval-Augmented Generation) pour l'extraction d'information à partir de documents PDF complexes, dans le contexte de l'essor des Modèles de Langages (LLM) et de l'IA.
La mission consistait à réaliser un benchmark complet des méthodes, frameworks et modèles composant l'architecture RAG (OCR, Embedding, Recherche sémantique, Prompt engineering) sur un jeu de données labellisé de questions-réponses.
L'objectif final était d'améliorer la précision et la transparence des réponses générées par l'IA.
Le rôle a impliqué la constitution d'un jeu de données, l'utilisation de différentes méthodes d'extraction de données textuelles et le développement en Python.</t>
  </si>
  <si>
    <t>Encadrant</t>
  </si>
  <si>
    <t>Projet interne Square</t>
  </si>
  <si>
    <t>Encadrement de projets étudiants en IA appliquée</t>
  </si>
  <si>
    <t>Dans une démarche de transmission des connaissanceset de mentorat, il a encadré plusieurs projets étudiants portant sur des applications concrètes de l’Intelligence Artificielle à des problématiques complexes. L’objectif était d’accompagner les étudiants dans l’exploration de solutions innovantes, en leur fournissant un cadre méthodologique rigoureux et des approches techniques avancées en NLP et en modélisation statistique.</t>
  </si>
  <si>
    <t>Description des missions : • Automatisation des réponses aux appels d’offres avec l’IA – SKEMA
Supervision d’un projet visant à développer un système basé sur des modèles NLP pour analyser et générer des réponses aux appels d’offres. Ce travail implique : Une étude des solutions existantes et un benchmarking des outils d’IA adaptés à l’extraction et à la génération de texte. Une analyse des coûts éventuels, limites, avantages et inconvénients.  • Intégration du risque climatique dans la Value at Risk (VaR) - ENSAI
Encadrement d’un projet étudiant explorant l’impact des scénarios climatiquessur la volatilité des marchés financiers, en intégrant des modèles de prédiction avancés: Modélisation de la Value at Risk (VaR)via une approche semi-paramétrique pour capter les dynamiques complexes des prix de marché. Étude des corrélations entre événements climatiques et fluctuations des actifs financiers, en intégrant des jeux de données spécialisés pour simuler différents scénarios d’évolution du climat</t>
  </si>
  <si>
    <t>Square Management est intervenu en tant qu'Encadrant sur un projet interne visant à la transmission de connaissances et au mentorat d'étudiants sur des applications concrètes d'Intelligence Artificielle. Le rôle était d'encadrer deux projets étudiants spécifiques : l'automatisation des réponses aux appels d’offres en utilisant le NLP, et l'intégration du risque climatique dans la Value at Risk (VaR) via des modèles de prédiction avancés. L'objectif était de fournir un cadre méthodologique et des approches techniques avancées en IA.</t>
  </si>
  <si>
    <t>Apprentissage et expérimentations en IA</t>
  </si>
  <si>
    <t>Passionné par l’Intelligence Artificielle et ses applications, il développe continuellement ses compétences en se formant de manière autonome sur les modèles de langage, l'entraînement de réseaux de neurones et les outils de l’écosystème IA. Cet apprentissage autodidacte lui permet d’explorer en profondeur les concepts avancés du NLP (Natural Language Processing) et du Machine Learning, tout en appliquant ces connaissances à des cas concrets.</t>
  </si>
  <si>
    <t>-Certification Microsoft Azure AI: Complétion de la formation Artificial Intelligence Microsoft Azure, en préparation à l’examen AI-900, permettant d’acquérir une maîtrise des services d’IA sur le cloud Azure.  - Implémentation d’un modèle GPT fromscratch: Développement sous Python d’un réseau neuronal génératif capable de produire du texte caractère par caractère. Entraînement réalisé sur le Tiny Shakespeare Dataset, avec une phase d’inférence pour tester les 
 performances du modèle. - Exploration des capacités des modèles Transformers : Utilisation de la librairie HuggingFace Transformers pour expérimenter différentes tâches de traitement automatique du langage (analyse de sentiment, classification et extraction d’entités nommées), permettant une compréhension approfondie du fonctionnement et des capacités des LLMs (Large Language Models).  Ces projets personnels illustrent une approche proactive et une volonté constante d'approfondir l'expertise en IA, au-delà des missions professionnelles</t>
  </si>
  <si>
    <t>Square Management est intervenu en tant que Data scientist sur un projet interne visant l'apprentissage et l'expérimentation en Intelligence Artificielle. Le consultant a développé ses compétences de manière autodidacte sur les modèles de langage (NLP et Machine Learning). Cela a inclus l'implémentation d'un modèle GPT from scratch et l'exploration des capacités des modèles Transformers (LLMs) via HuggingFace pour diverses tâches de traitement automatique du langage. Ces travaux personnels illustrent une expertise proactive en IA.</t>
  </si>
  <si>
    <t>SOCIETE GENERALE BDDF</t>
  </si>
  <si>
    <t>DAT</t>
  </si>
  <si>
    <t>Direction des programmes DATA</t>
  </si>
  <si>
    <t>Au sein de la direction DATA de la Société Générale, l'objectif de la mission a été de cadrer une solution de refonte du processus de récolte et de modification de la donnée Tiers afin de correspondre aux nouveaux standards des régulateurs ( DGFIP, BCE et FED ).</t>
  </si>
  <si>
    <t>Directeur du projet depuis le lancement du cadrage, en lead sur 31 chantiers il a fallu coordonner, budgétiser et planifier l'ensemble des travaux Métiers et IT réalisés au sein de la SG pendant ce projet. L'ensemble de ces chantiers ont eu pour but dans un premier temps d'endiguer la dégradation de la données Tiers, puis de la faire monter en qualité pour finir par la valoriser. Une fois la partie applicative entièrement remise à niveau, Antoine s'est principalement impliqué dans un important chantier de data science. L'objectif de ce chantier fut de réaliser la récupération automatique d'informations provenant de 1,4 million de pièce d'identité à l'aide d'un algorithme d'IA développé en interne. Les données ont été par la suite utilisés dans le cadre d'analyse et de processus de remise en qualité de la base de données Tiers de la SG. L'utilisation de L'IA nous a permis d’optimiser les couts et d'obtenir des résultats bien meilleurs que nos premières estimations. Coordination des 31 équipes Création d'une comitologie appropriée Création d'une cartographie des processus métiers Analyse des données lors des différentes étapes de controle de la qualité de la donnée Analyse des résultats avec mise en place de scoring et de population Validation de la stratégie de traitement automatisé de la donnée Tiers Mise en place d'un RACI pour chaque étapes du programme Supervision de l'homologation bancaires et fonctionnelle des applications Organisation et gestion du backlog du programme</t>
  </si>
  <si>
    <t>Data</t>
  </si>
  <si>
    <t>Square Management est intervenu en tant que Directeur de projet au sein de la Direction des programmes DATA de SOCIETE GENERALE BDDF, dans le cadre de la refonte du processus de gestion de la donnée Tiers pour se conformer aux standards régulateurs (DGFIP, BCE, FED).
La mission, qui impliquait la coordination et la planification de 31 chantiers, a culminé avec un chantier majeur de data science.
Ce chantier a consisté à développer et implémenter un algorithme d'Intelligence Artificielle (IA) interne pour la récupération automatique d'informations à partir de 1,4 million de pièces d'identité.
L'utilisation de l'IA a permis d'optimiser les coûts et d'améliorer significativement la qualité de la base de données Tiers de la Société Générale.
Le rôle a également couvert l'analyse des données, la validation de la stratégie de traitement automatisé, et la supervision de l'homologation des applications.</t>
  </si>
  <si>
    <t>Model Advisor</t>
  </si>
  <si>
    <t>CREDIT AGRICOLE CIB</t>
  </si>
  <si>
    <t>Global Markets Regulatory Compliance</t>
  </si>
  <si>
    <t>Amélioration du cycle de vie des modèles de détection d'abus de marché</t>
  </si>
  <si>
    <t>L'intégrité des marchés financiers est compromise par des abus (layering, spoofing, pump-and-dump, délit d'initié, etc.). Pour détecter ces abus, les communications entre traders et les trades effectués sont surveillés. Christophe a eu pour mission d'améliorer le cycle de vie des modèles de surveillance des trades.</t>
  </si>
  <si>
    <t xml:space="preserve">Réalisations Review, amélioration et calibration de modèles d'abus de marché Développement d'un outil d'automatisation du reporting concernant le cycle de vie des modèles Définition d'un nouveau format de spécifications fonctionnelles et techniques des modèles Acculturation de l'équipe à l'IA Générative  Outils : Python, Excel </t>
  </si>
  <si>
    <t>Square Management est intervenu en tant que Model Advisor chez CREDIT AGRICOLE CIB, au sein de Global Markets Regulatory Compliance. La mission s'inscrivait dans le contexte de l'amélioration du cycle de vie des modèles de détection d'abus de marché pour préserver l'intégrité des marchés financiers. Le rôle comprenait la revue, l'amélioration et la calibration des modèles, ainsi que le développement d'un outil d'automatisation de reporting. L'aspect IA de la mission était centré sur l'acculturation de l'équipe à l'IA Générative et la définition de nouveaux formats de spécifications pour les modèles.</t>
  </si>
  <si>
    <t>Product Manager</t>
  </si>
  <si>
    <t>Digitale</t>
  </si>
  <si>
    <t>PROJET TRANSFORMATION - RELATION CLIENT</t>
  </si>
  <si>
    <t>Au sein de la Direction digitale de la SG, mise en place d'un programme stratégique d'intégration d'une IA dans l'App SG à destination des particuliers.</t>
  </si>
  <si>
    <t>Intervention Product Manager du service "SG Assistant" qui propose des conseils personnalisés au client et une analyse de ses comptes à travers des prévisions à 7 et 30 jours ou une gestion de ses abonnements.  Réalisation Définition des besoins de la SG Elaboration du Business case et validation auprès de la Direction Définition de l'enveloppe budgétaire Définition des KPI avec l'aide des chefs produits Choix du prestataire externe Définition du contrat avec les achats (des négociations à la signature) Priorisation des fonctionnalités en fonction de la valeur client Mise en place des ateliers entre les métiers SG et le prestataire externe Suivi des ateliers pour la définition des maquettes, des parcours avec UX/UI et product design jusqu'aux tests utilisateurs Lead PO &amp; BA pour suivi de la rédaction de leur backlog Suivi des sprints du prestataire externe et des sprints interne SG avec Go/No Go (participation aux différents cérémoniaux agiles : Pré PI, PI, Product corner) Lancement du service auprès des clients (suite à un pilote de 6 mois), validation et suivi enquête de satisfaction Lead du Data analyst au quotidien dans le suivi des performances Suivi des KPIs</t>
  </si>
  <si>
    <t>Square Management est intervenu en tant que Product Manager au sein de la Direction digitale de la SG pour piloter l'intégration stratégique d'une IA dans l'App SG, visant les particuliers.
Cette mission consistait à gérer l'implémentation du service "SG Assistant", qui utilise l'IA pour offrir des conseils personnalisés et une analyse des comptes clients (prévisions, gestion des abonnements).
Le rôle a englobé la définition des besoins, l'élaboration du Business Case, la sélection du prestataire, la définition des KPIs, et la priorisation des fonctionnalités axées sur la valeur client.
Square Management a assuré le suivi complet du cycle de développement Agile (ateliers, sprints, tests utilisateurs).
Il a également piloté le lancement du service et le suivi quotidien des performances via le Data analyst.</t>
  </si>
  <si>
    <t>Accompagnement Directrice de Projet Dispositif Cible PPI (Prêt Personnel Immobilier)</t>
  </si>
  <si>
    <t>BDDF/TPA/EPA</t>
  </si>
  <si>
    <t>Refonte du modèle opérationnel des prêts immobiliers aux particuliers</t>
  </si>
  <si>
    <t>CONTEXTE Dans le cadre du programme "Top Parcours" des réseaux France de Société Générale, une refonte du modèle opérationnel de distribution des prêts immobiliers est envisagée pour améliorer la qualité de service et amener l'offre de SG dans le top 3 du marché en termes de satisfaction client. Plusieurs constats ont amené à prioriser la refonte du modèle de distribution : - un baromètre concurrentiel au plus bas sur la satisfaction client globale (en dernière position sur un panel de 9 établissements) - des parts de marché en baisse de 1% en 2 ans - un dispositif complexe pour le collaborateur et le client, avec un parcours digital incomplet et un modèle de distribution front to back inefficace (2,5 boucles front / back par dossier)  ENJEUX La distribution des Prêt Immobiliers est stratégique pour la banque de détail sur les marchés des clients particuliers et patrimoniaux pour : - Diminuer le délai de réception de l'offre : adresser au client une offre en 5 jours pour les dossiers simples - Gagner en efficacité en adaptant le dispositif de distribution (notamment aux standards du marché) et en y intégrant les nouvelles technologies : optimiser le modèle opérationnel, automatiser la gestion des documents, optimiser le parcours digital...
- Améliorer la satsifaction client et le PNB généré</t>
  </si>
  <si>
    <t>Objectifs du Programme de refonte du modèle opérationnel de distribution des Prêts Immobiliers aux Particuliers : Refondre en profondeur le dispositif de distribution pour améliorer la satisfaction client et regagner des parts de marché, via 4 chantiers : 1) Frontalisation et Pole Expert Immobilier 2) Middleisation 3) Parcours digital 4) Automatisation (RAD/LAD: reconnaissance et lecture automatique des documents, et IA)  Mission Conception du dipositif cible multicanal de distribution Livrable : Définir un modèle et des parcours visant à simplifier, clarifier, orienter au moment de l'entrée en relation, prise de contact, montage du dossier, décaissement :  - enrichir le parcours digital pour gagner en efficacité opérationnelle et gagner davantage de clients. Cible vision client à 3 ans : digitaliser toutes les étapes du parcours de la simulation à l'accord de principe. &gt; Objectifs : transformer les simulations en demande de prêt immobilier (capter a minima 10% des 200 000 simulations éligibles), ouvrir des comptes et générer du PNB  - frontaliser pour réduire les délais, en s'appuyant sur deux DCR Pilotes sur un premier lot de dossiers simples. &gt; Objectif : confier l'édition des offres de prêts immobilier de nos clients aux agences sous un délai de 5 jours pour des dossiers simples tout en maintenant un bon taux de conformité des dossiers, ou faire traiter les dossier les plus complexes par le Pole Expert Immobilier directement  - Middleiser pour que le CDS puisse prendre en charge la relation client entre le retour d'offre et la mise à disposition des fonds chez le notaire ou en paiement de factures &gt; Objectif : fluidifier et éviter le re-work et les traitements en urgence &gt; Réduire le délai de mise à disposition des fonds  - Automatiser l'analyse des documents en utilisant les nouvelles technologies &gt; Objectifs : Fluidifier la collecte et la mise en GED des pièces justificatives, contrôler la bonne typologie et le bon nombre de documents attendus, détecter les  Pilotage global du projet et de sa rentabilité - Participation aux différentes instances de suivi et pilotage du projet, avec élaboration des présentations associées : COPROJ, COPIL, Comité d'Excellence Opérationnelle et Satisfaction Client, ... - Organisation ou participation aux points de suivi et/ou de cadrage hebdos avec les différentes parties prenantes : métiers, sponsors, direction, directeur du marché des particuliers, Banque PAT, ... - Organisation et animation d'ateliers de définition de la vision et trajectoire cible  Principaux livrables : - Description des facteurs clés de succès de la transformation du modèle de distribution de Société Générale - Proposition des recommandations de transformation de l'organisation et d'évolution des parcours client et des processus associés - Projections volumétriques et évaluation des gains / couts ETP , calcul du PNB additionnel, business plan - Rédaction du Mémo CNP Comité Nouveaux Produits</t>
  </si>
  <si>
    <t>Square Management est intervenu en tant qu'Accompagnement Directrice de Projet Dispositif Cible PPI au sein de SOCIETE GENERALE BDDF, dans le cadre du programme "Top Parcours".
Le contexte est la refonte du modèle opérationnel de distribution des prêts immobiliers pour améliorer la satisfaction client et regagner des parts de marché.
L'un des quatre chantiers majeurs de ce programme est l'automatisation, incluant le RAD/LAD (reconnaissance et lecture automatique des documents) et l'Intelligence Artificielle (IA).
Le rôle de Square Management a été de concevoir le dispositif cible multicanal de distribution.
Ceci inclut la définition d'un modèle visant à automatiser l'analyse des documents en utilisant les nouvelles technologies (IA) pour fluidifier la collecte et le contrôle des pièces justificatives.</t>
  </si>
  <si>
    <t>PMO / Programme Manager</t>
  </si>
  <si>
    <t>L'OREAL - R&amp;I</t>
  </si>
  <si>
    <t>Global SRCM -  Safety, Regulatory &amp; Claims Affairs and Microbiology</t>
  </si>
  <si>
    <t>Global Digital Transformation - Augmented Researchers</t>
  </si>
  <si>
    <t>L'ORÉAL'S DIGITAL TRANSFORMATION FOR INNOVATION, AGILITY, AND SUSTAINABILITY The rapid pace of scientific and technological change is reshaping the cosmetic industry. L'Oréal's "Augmented Researchers" programme aims to leverage digital tools, simplify processes, reduce time to market, promote data sharing and align with sustainability goals. The progarmme includes transformation of L'Oréal's organization,  enhancement of digital capabilities and the activation of 3 products, 10 initiatives with over 500 collaborators of the Research &amp; Innovation (R&amp;I) SRCM Division worlwide.</t>
  </si>
  <si>
    <t>Programme Strategy Global Roadmap &amp; budget for the SRCM division : Vision, strategy, value, budget scorecard. The CPP (project prioritization committee) is decision-making authority at R&amp;I and L'Oréal Group level Value Proposition : steered all activities oriented Value to support decision making with cost avoidance and related Digital, project and AI investment, with a 2030 target Cross-Functional Collaboration: Coordinated transversal preparation between stakeholders across functions to ensure seamless alignment. Functions involved are Satety, Regulatory &amp; Claims and Microbiology, but also Formulation, Evaluation Intelligence. It included relation with external partners for RFI and IA Gen experimentation AI and Ontology Integration: helped the Data team to assess solutions leveraging ontology layers to reconcile products with applicable regulations worldwide. Deliverables: Produced a detailed roadmap (2025-2030), Cost avoidance projection, comparative RFI analysis, and a redefined operational framework for digital and AI-driven workflows Organisational Transformation : evaluation of HR impacts, identification of roles and repetitive tasks impacted and reskilling necessary for the 500 people team worldwide</t>
  </si>
  <si>
    <t>Square Management est intervenu en tant que PMO / Programme Manager au sein de la division SRCM de L'Oréal - R&amp;I. Dans le cadre du programme de transformation digitale Augmented Researchers, la mission a consisté à piloter la stratégie globale, la roadmap 2025-2030 et le budget. L'accent a été mis sur l'intégration de l'IA, notamment par l'accompagnement de l'équipe Data sur les couches d'ontologie et le pilotage d'expérimentations en IA générative avec des partenaires externes. Le rôle incluait également l'évaluation des impacts RH et des besoins de reskilling liés à ces nouvelles technologies pour 500 collaborateurs.</t>
  </si>
  <si>
    <t>Team Lead/ PMO/ Program Manager</t>
  </si>
  <si>
    <t>La Recherche et Innovation de l'OREAL mène une transformation digitale en profondeur, dont l'un des piliers; "Augmented Researchers", vise à renforcer les capacités d'innovation de ses Laboratoires en intégrant le digital, la data et la technologie au coeur des ways of working des chercheurs. Un programme qui vient soutenir les ambitions L'OREAL FOR THE FUTURE (engagements à 2030 en matière de Sustainability)</t>
  </si>
  <si>
    <t>Accompagnement de 3 initiatives stratégiques : Strategic Color Creation (Ambition : équiper les Laboratoires d'une plateforme de visualisation et de sélection de la couleur pour les Métiers de la Coloration Capillaire et du Maquillage afin de proposer une expérience de formulation "augmentée" grâce à l'intégration d'un processus de détermination de points de départ pour la (re)formulation. Fast Color for Foundation and Hair (Ambition : réinventer la formulation des fonds de teint et capillaire grâce à des modèles d'IA prédictif et réduire par deux le TTM et répondre aux enjeux Green)  Activités sur ces initiatives : Co-construction des ambitions et de la valeur apportée : Enjeux, raison d'être, indicateurs de valeur (UX/ Inno/ Efficiency) Cadencement et accompagnement des phases de Framing, Build, Pilote et déploiement Organisation de workshops ad hoc (ex : user journey - vision as is/ to be, storymapping, stratégie change et plan d'adoption) Coordination d'une équipe pluridisiplinaire : product owners, data, algo, UX designers, coach agiles, architectes fonctionnels, change management, UX Researcher, Responsables de Laboratoires, chimistes &amp; ingénieurs, Hubs internationaux (China, US), et autres project leaders en adhérence. Définition du budget, gestion des risques Organisation et animation de la gouvernance, préparation des PI, supports à destination des sponsors et de membres du Comex R&amp;I</t>
  </si>
  <si>
    <t>Square Management est intervenu en tant que Team Lead/PMO/Program Manager auprès de la Direction Recherche &amp; Innovation de L'OREAL, dans le cadre de la transformation digitale via le programme "Augmented Researchers". La mission consistait à accompagner des initiatives stratégiques visant à renforcer les capacités d'innovation des Laboratoires. Cela incluait l'accélération des processus de formulation (e.g., Fast Color) grâce à l'intégration de modèles d'Intelligence Artificielle prédictifs. Le rôle a impliqué la co-construction des ambitions, le cadrage, le pilotage, la coordination d'équipes pluridisciplinaires (data, algo) et l'animation de la gouvernance du programme.</t>
  </si>
  <si>
    <t>Directrice Conduite du Changement</t>
  </si>
  <si>
    <t>Programme de performance financière &amp; opérationnelle</t>
  </si>
  <si>
    <t>CAL&amp;F souhaite se saisir des opportunités d’un environnement en pleine mutation : attentes accrues sur de nouvelles offres, évolution de l'environnement technologique (IA/digitalisation), collaborateurs en demande d'automatisations... Dans ce contexte, et pour maintenir ses ambitions de croissance, CAL&amp;F lance le programme Performance 2030 pour maîtriser ses charges. Les marges de manœuvre dégagées sont destinées à être investies dans les projets de croissance.</t>
  </si>
  <si>
    <t>Cette mission a concerné le déploiement de ce programme en France sur sept directions, représentant +1000 collaborateurs significativement impactés, jusqu'à fin 2026.  Principaux travaux menés : - cadrage et stratégie de la conduite du changement - analyses d'impact par direction et définition du parcours d'accompagnement de chaque population impactée - plans de conduite du changement (communication, formation, ateliers participatifs...) par direction - mise en oeuvre des plans de conduite du changement (ex. formation au Change des consultants internes via la Fresque du Changement, conception et animation d'un séminaire d'innovation et de Change pour le management de la Direction des Opérations sur la Conduite du Changement...) - traitement des résistances au changement (ex. analyse des freins et blocage rencontrés par les managers de la Direction Commerciale pour porter la transformation, note de synthèse et plan d'action) - mise en place et montée en compétence d'un réseau de Consultants Conduite du Changement par direction - coordination avec les équipes partenaires (communication interne, RH) et contribution au volet mobilité - pilotage bimensuel avec le directeur de la Transformation  Résultats : - approche standardisée de conduite du changement avec des plans d'action sur-mesure par direction et population - développement de l'expertise Change et embarquement des parties prenantes clés au changement (consultants internes, top, middle et first-line management) pour une transformation durable</t>
  </si>
  <si>
    <t>Square Management est intervenu en tant que Directrice Conduite du Changement auprès de CREDIT AGRICOLE LEASING AND FACTORING (CAL&amp;F) dans le cadre du programme "Performance 2030". Le contexte est l'évolution technologique (IA/digitalisation) et les besoins d'automatisation, nécessitant un contrôle des charges pour investir dans des projets de croissance. La mission a consisté à déployer ce programme en France sur sept directions (+1000 collaborateurs) en définissant et mettant en œuvre une stratégie de conduite du changement standardisée mais avec des plans sur-mesure. Le rôle a inclus le cadrage, l'analyse d'impact, la mise en place de plans de communication/formation et le développement de l'expertise Change pour accompagner la transformation digitale.</t>
  </si>
  <si>
    <t>La FDJ se professionnalise de plus en plus sur les sujets de gouvernance de données avec notamment la création d’une entité gouvernance groupe rattachée à la direction data et ia. Celle- ci définit des politiques et procédures de la gestion et de l’utilisation des données. Les Data Steward jouent le rôle de relais de cette entité centrale en local et s’assure de la bonne diffusion et mise en œuvre de ces politiques et procédure. Ce rôle est actuellement pris en charge par un Data Product Manager dont le périmètre est en croissance : de plus en plus de besoin data, la mise en place de nouveau outils : datalake, dataiku, PBI Premium et l’accélération de la livraison de cas d’usage data science et IA.</t>
  </si>
  <si>
    <t>1/ Définir le modèle fonctionnel des données 2/ Création de la cartographie générale des données de la FoCo 3/Améliorer la qualité des données  : Analyser et dresser l’état des lieux complet de chacune des problématiques de qualité : comparaison de base à base, compréhension des processus métier, data lineage, etc. (Run) Définition d’outil ou de tableau de bord pour anticiper ces détériorations de qualité et pouvoir se baser sur des indicateurs pouvant mesurer la qualité de la donnée. (Build)</t>
  </si>
  <si>
    <t>Square Management est intervenu en tant que Data Steward au sein de la Direction Fonction Commerciale de la FDJ.
Le contexte est celui de la professionnalisation de la FDJ sur la gouvernance des données, notamment via une direction data et IA, et l'accélération de la livraison de cas d’usage data science et IA.
Le rôle a consisté à relayer les politiques de gouvernance de données pour assurer la qualité des données, un enjeu critique pour l'accélération des projets d'IA.
Les activités principales comprenaient la définition du modèle fonctionnel des données, la cartographie des données, et l'amélioration de la qualité des données (analyse, état des lieux et définition d’outils de suivi).
L'expertise de Square Management a soutenu l'infrastructure nécessaire à la croissance des besoins data et à l'exploitation de l'IA.</t>
  </si>
  <si>
    <t>IT Delivery Manager</t>
  </si>
  <si>
    <t>MOET HENNESSY</t>
  </si>
  <si>
    <t>Blandine a intégré la Maison Hennessy en tant que IT Delivery Manager sur les sujets Digitaux, CRM et Product &amp; Content au sein de l'équipe IT Sales, Consumer &amp; Marketing. Elle est en charge du développement des outils digitaux qui gravitent autour de ces sujets métier. Elle intervient sur des sujets variés tels que : - l'évolution, l'optimisation et le lancement des fonctionnalités (sites/app, CRM Salesforce, PIM/DAM) - la mise en place de projets innovants (Web 3, Modélisation 3D, IA) - le suivi de la stabilité des environnements (gestion des incidents, monitoring des sites, monitoring API, migration CMS...) Et tout cela sur un scope International</t>
  </si>
  <si>
    <t>Ses missions  : Contribution à la stratégie du domaine et à l'établissement de la feuille de route Accompagnement des équipes métiers de son domaine de responsabilité (Marketing Digital, CRM, Oenotourisme, Digital Innovation) dans leurs projets et sensibilisation aux apports de la technologie Coordination des équipes métier de son domaine de responsabilité, des équipes IT Globales (Digital, Consumer Engagement, Brand Home, Data, Product &amp; Content, T&amp;O) et des équipes support (Legal, Conformité, Cyber-Sécurité) Appropriation des processus et  solutions métier afin de favoriser l'adoption des solutions, conduire le change management et maximiser leur plus value pour les utilisateurs Maintien de la stabilité des environnements et accompagnement au déploiement Structuration du périmètre  Ses principales responsabilités  : Coordination dans le cadre des processus de gouvernance de lancement de nouveaux sujets/projets, auprès des instances de validation internes IT Challenge des expressions de besoins (objectifs chiffrés, parcours clients et utilisateurs, processus cibles) et analyse des impacts (fonctionnels et architecturaux) avec les différentes parties prenantes Préparation &amp; animation des ateliers métier et des différentes instances de gouvernance du projet Proposition et recommandation d'innovations technologiques Validation des spécifications fonctionnelles Pilotage des projets et roll out Suivi de la mise en conformité et cyber-sécurité Documentation des fonctionnalités déployées et préparation du passage en run (processus de gestion d'incidents, d'évolutions ...) Identification des actions d'optimisation et pilotage des plans d'actions associés, en coordination avec Customer Success Manager des équipes IT globales Suivi du run (gestion des incidents, monitoring des sites &amp; API...</t>
  </si>
  <si>
    <t>Square Management est intervenu en tant que IT Delivery Manager auprès de MOET HENNESSY (DSI), au sein de l'équipe IT Sales, Consumer &amp; Marketing. La mission porte sur le développement et l'optimisation des outils digitaux (CRM, Product &amp; Content) sur un scope international. Le rôle inclut spécifiquement la mise en place de projets innovants, notamment l'Intelligence Artificielle (IA). Les responsabilités couvrent la contribution à la stratégie, le pilotage de projets, le change management et le maintien de la stabilité des environnements.</t>
  </si>
  <si>
    <t>Chef de projet digital &amp; innovations</t>
  </si>
  <si>
    <t>MOET HENNESSY - Estates &amp; Wines</t>
  </si>
  <si>
    <t>Estates &amp; Wines - Digital team</t>
  </si>
  <si>
    <t>Chef de projet digital &amp; Innovations</t>
  </si>
  <si>
    <t>Au sein de la direction Digitale de chez Wine Estates, sa mission consiste à faire adopter et développer le CRM ainsi que les projets d'innovations digitales aux différentes Maisons et marchés de Wine Estates.</t>
  </si>
  <si>
    <t>Pilotage des programmes relationnels (CRM) Stratégie CRM: Personnaliser la stratégie CRM globale des Maisons établie et l'adapter pour les besoins de chacune.
Définir et développer  la stratégie CRM des marchés afin de les soutenir dans leurs campagnes et objectifs de data collection, animation et rétention. Implémentation de la stratégie CRM: Implémenter la stratégie CRM pour chaque Maisons &amp; marchés et les assister dans l'adoption de celle-ci. (Suivi quotidien, projets, création de la roadmap à l'année). Guidelines : Créer des formations CRM pour apprendre aux Maisons à utiliser les outils CRM (Salesforce, Power Bi, Google Analytics), développer ses opération de data collections, d'animation et de rétention. Mener les campagnes à bien et fixer les objectifs pour les années à venir. Optimisation des email automatiques: Refonte de la stratégie d'automatisation d'emails pour maximiser son impact. Refonte des designs, mécaniques et customer journey de la Welcome, Birthday &amp; Retention emails. Collecte des données: Concevoir et mettre en œuvre une stratégie de collecte et de qualification des données. (paid media, event, website..) Plan d'activation Global: Définir et exécuter le plan d'activation CRM global contenant les activations locales. Créer et développer les activations des marchés pour convertir nos prospects. 2. Projets d'innovation - Web 3.0 Wine Club web 3.0 : Participer au projet Web 3 de Wine Estates: création de campagnes Web 3, développer "POAP" pour créer un programme de fidélité spécifique Web 3. Projet réalité virtuelle : Chef de projet pour ledéploiement d’une expérience immersive Projet intelligence artificielle : Contribution audéploiement d’une IA sommelière (présentée à Vivatech)</t>
  </si>
  <si>
    <t>Square Management est intervenu en tant que Chef de projet digital &amp; innovations au sein de la direction Digitale de MOET HENNESSY - Estates &amp; Wines, visant à développer le CRM et les projets d'innovations digitales. Le rôle a inclus la contribution au déploiement d’une IA sommelière (présentée à Vivatech) dans le cadre des projets d'innovation. Parallèlement, la mission a couvert le pilotage des programmes relationnels (CRM) et l'implémentation de la stratégie CRM pour maximiser l'impact et la collecte de données pour les différentes Maisons et marchés.</t>
  </si>
  <si>
    <t>Innovation Management &amp; AI</t>
  </si>
  <si>
    <t>BALOISE ASSURANCES</t>
  </si>
  <si>
    <t>Head Of Innovation</t>
  </si>
  <si>
    <t>Organisation d'un Hackathon IA</t>
  </si>
  <si>
    <t>Dans la continuité des travaux menés sur l’exploration et l’implémentation de cas d’usage GenAI, Baloise Assurance souhaite organiser un Hackathon transverse réunissant l’ensemble des métiers du Groupe.
L’objectif de cet événement est double : acculturer massivement les collaborateurs aux usages concrets de l’IA Gen et identifier de nouveaux leviers d’innovation applicables à court terme dans les activités opérationnelles.
Le hackathon s'inscrit dans un dispositif de transformation &amp; Innovation afin d'ancrer l'IA dans le quotidien, par la pratique, de stimuler la créativité et de créer une synergie entre les directions métiers, l’innovation, l’IT.</t>
  </si>
  <si>
    <t>1. CADRAGE STRATÉGIQUE ET THÉMATIQUE : Définition des thématiques prioritaires alignées sur les enjeux du COMEX. Identification des sponsors métiers et constitution d’un comité de pilotage Innovation.  2. ORGANISATION LOGISTIQUE ET GOUVERNANCE DE L’ÉVÉNEMENT : Sélection des participants (volontaires, mentors, facilitateurs, coordinateurs, ambassadeurs IA), planification des ateliers et coordination avec les équipes IT pour la mise à disposition des environnements techniques.  3. PHASE D’IDÉATION ET DE CONCEPTION RAPIDE : Conférence sur les tendances GenAIet les usages concrets dans l’assurance. Identification et formalisation des cas d’usage porteurs à travers le prisme désirabilité-viabilité-faisabilité  4. PHASE DE PROTOTYPAGE ET DÉMONSTRATION : Développement de ProofsVof Concept avec outils no-code / low-code et APIs IA internes. Coaching des équipes du hackathon pour penser leurs projets sous le tryptique désirabilité-viabilité-faisabilité  5. PHASE DE RESTITUTION ET CAPITALISATION : Pitchs finaux devant un jury transverse (DG, Innovation, DSI, Stratégie...). Sélection des projets à fort potentiel pour passage en phase d’expérimentation. Rapport de synthèse consolidant les apprentissages, les success stories et les pistes d’industrialisation</t>
  </si>
  <si>
    <t>Square Management est intervenu en tant qu'Innovation Management &amp; AI auprès de BALOISE ASSURANCES pour l'organisation d'un Hackathon IA transverse. Le contexte était l'acculturation massive des collaborateurs aux usages concrets de l'IA Générative (GenAI) et l'identification de nouveaux leviers d'innovation applicables à court terme. Le rôle a consisté à cadrer stratégiquement et logistiquement l'événement, notamment la définition des thématiques IA et la coordination avec l'IT pour les environnements techniques. Square Management a également assuré le coaching des équipes pour le prototypage de Proofs of Concept basés sur des APIs IA internes et a géré la phase de restitution pour la sélection des projets à fort potentiel.</t>
  </si>
  <si>
    <t xml:space="preserve">Responsable périmètre opérations (MO/BO) et juridiques </t>
  </si>
  <si>
    <t>GROUPE CAL&amp;F</t>
  </si>
  <si>
    <t>PERFORMANCE 2030 - PROGRAMME DE PERFORMANCE FINANCIERE &amp; OPERATIONNELLE</t>
  </si>
  <si>
    <t>Bénéficiant d'un marché en pleine croissance (leasing et factoring), CAL&amp;F dans PMT s'est projeté dans une croissance inédite sur les 4 prochaines années. Cependant, l'entreprise fait face à une augmentation de ses charges au même rythme que son pnb, résultat d'un dispositif opérationnel faiblement industrialisé (processus et outils notamment). Néanmoins, dans cette situation CAL&amp;F souhaite se saisir des opportunités d’un environnement en pleine mutation: attentes accrues des clients et partenaires sur les nouvelles offres et services, évolution de l'environnement technologique (IA/digitalisation), collaborateurs en demande d'automatisations, et des compétiteurs en mouvement. Dans ce contexte, et pour maintenir ces ambitions de croissance, CAL&amp;F lance un programme qui vise à maîtriser ses charges et améliorer son coefficient d'exploitation. Les marges de manœuvre dégagées sont destinées à être investies dans les projets de croissance.</t>
  </si>
  <si>
    <t xml:space="preserve">La mission consiste à accompagner CAL&amp;F à optimiser de manière durable son dispositif de développement et sa rentabilité : - Identifier et traiter les leviers pour optimiser son efficacité opérationnelle et industrialiser son développement - Réallouer les marges de manœuvre ainsi dégagées pour renforcer ses moyens (effectifs, charges, investissements IT notamment) sur des activités nouvelles ou à plus forte valeur ajoutée Les travaux se sont déroulés en plusieurs phases qui ont consisté à : i) cadrer et définir l'ambition de gains à rechercher, à travers des analyses de benchmarks comparatifs du marché sur la performance opérationnelle des fonctions de CAL&amp;F (le commerce, les opérations, les fonctions supports, l'IT, les projets) ii) affiner opérationnellement le cadrage, en décrivant les macro-leviers à activer pour atteindre l'ambition de gains. Ces travaux ont abouti à déterminer 5 grandes familles de leviers : dépenses externes, optimisation de processus, dépenses informatiques, efficacité commerciale, empreinte géographique iii) rechercher les leviers d’économie : cette phase a consisté à identifier les pistes concrètes d'optimisation, les quantifier et à les abriter (ex simplification/automatisation de processus, rationalisation d'organisation, renégociation de contrats des prestataires, frugalisation des projets...) iv) préparer la phase de mise en œuvre en analysant les prérequis et modalités opérationnelles pour la phase d’exécution v) piloter la mise en œuvre en exécutant le plan d'implémentation des chantiers définis précédemment Le dispositif projet d'une dizaine de personnes externes est composé d'un directeur de programme, d'experts en transformation et réduction de couts, de consultants en stratégie et en organisation et d'une équipe de communication et de conduite de changement. Ce dispositif est renforcé par environ 70 contributeurs internes: chefs de projets des directions et experts métier. Le programme est sponsorisé par la Direction Générale de CAL&amp;F, sous la conduite de son Directeur de la Transformation.  Mon rôle a consité à piloter les travaux liés à ces phase sur le périmètre back office, juridique et contentieux budget annuel (ETP + dépenses) : 25M€ / an Objectif atteint : -4M€ </t>
  </si>
  <si>
    <t>Square Management est intervenu en tant que Responsable périmètre opérations (MO/BO) et juridiques pour le CREDIT AGRICOLE LEASING AND FACTORING, dans le cadre du programme "PERFORMANCE 2030" visant à optimiser le dispositif de développement et la rentabilité de CAL&amp;F.
Le contexte est marqué par une croissance du marché mais des charges élevées dues à un dispositif opérationnel faiblement industrialisé. Le programme visait à maîtriser ces charges pour investir dans des projets de croissance et saisir les opportunités de l'environnement technologique, notamment l'évolution vers l'IA/digitalisation.
Le rôle a consisté à piloter les travaux d'optimisation (cadrage, recherche de leviers d'économie, préparation et exécution du plan de mise en œuvre) sur le périmètre back-office, juridique et contentieux, permettant d'atteindre un objectif de gain de -4M€. La mission a inclus l'identification de leviers d'optimisation de processus, notamment par simplification/automatisation, en réponse à la demande d'automatisation des collaborateurs et l'évolution technologique (IA).</t>
  </si>
  <si>
    <t>Proxi Product Owner</t>
  </si>
  <si>
    <t>Direction du Digital</t>
  </si>
  <si>
    <t xml:space="preserve">PMO - SG ASSISTANT </t>
  </si>
  <si>
    <t>En tant que Proxi Product Owner chez Société Générale, Eric a piloté le développement et l’intégration de SG Assistant, un outil d’IA de recommandations personnalisées pour l’application mobile, visant à offrir des conseils financiers basés sur les habitudes bancaires et les activités de compte des clients.</t>
  </si>
  <si>
    <t>Implémentation de l’Outil SG Assistant : •Recueillir et analyser les besoins métiers en matière de services e-commerce (cartes, crédit, assurance, épargne, cashback) et les traduire en fonctionnalités intégrées. •Coordonner les équipes IT, design et fournisseurs externes pour assurer une gestion fluide du projet et l’alignement sur les priorités de Société Générale. •Superviser les phases de déploiement : alpha, beta interne, beta client, et mise en production auprès utilisateurs finaux. Outils Utilisés : •Power BI: Suivi des performances et analyses des données utilisateurs pour ajuster les recommandations et optimiser l’outil. •Jira : Gestion des tâches et coordination des équipes interfonctionnelles. Compétences Développées : •Expertise en gestion de projet agileet en développement de produits digitaux. •Compétences renforcées en conformité réglementaireet gestion des données. •Capacité à favoriser la collaboration interfonctionnelleet à piloter des projets dans un environnement complexe. Impact et Valeur Ajoutée : Eric a démontré sa capacité à innover et à piloter des projets stratégiques répondant aux besoins spécifiques des clients et des équipes métier dans un environnement bancaire et digital.</t>
  </si>
  <si>
    <t>Square Management est intervenu en tant que Proxi Product Owner au sein de la Direction du Digital de SOCIETE GENERALE. La mission consistait à piloter le développement et l’intégration de "SG Assistant", un outil d’Intelligence Artificielle (IA) conçu pour fournir des recommandations financières personnalisées sur l'application mobile. Le rôle comprenait la collecte des besoins métiers, la traduction en fonctionnalités, et la coordination des équipes pour superviser les phases de déploiement de cet outil d'IA. L'objectif était d'offrir des conseils basés sur les habitudes bancaires des clients afin d'optimiser l'engagement et la valeur ajoutée.</t>
  </si>
  <si>
    <t>Expert organisation Agile à l'échelle</t>
  </si>
  <si>
    <t>VALEO</t>
  </si>
  <si>
    <t>Recherche et Développement</t>
  </si>
  <si>
    <t>Organisation agile pour l'intégration de l'IA pour les cas d'usage industriels</t>
  </si>
  <si>
    <t>Dans le cadre de l'optimisation des ses chaines de production, Valeo a lancé un programme stratégique pour l'intégration de l'intélligence artificielle avec l'ambition de trouver l'organisation idéale pour le developpement des cas d'usage</t>
  </si>
  <si>
    <t xml:space="preserve">Square management a accompagné la direction de la R&amp;D pour trouver le modèle organisationnelle cible idéal pour l'intégration des cas d'usages IA validés post POC. La mission a consisté à adresser 3 principaux points: Diagnostiquer l'organisation existante et plus particulièrement les flux entre les équipes R&amp;D et les équipes de productions Préconiser un scénario cible avec une feuille de route d'implementation intégrant des gains rapides Un test du modèle cible sur 3 équipes ditribuées dans 3 pays et un plan de mise à l'échelle. Les résultats obtenus sont: Un Target Operating Model basé sur le model Scrum Of Scrum Un processus de gestion de la demande basé sur la priorisation par la Valeur Clarification et ajustement de nouveaux rôles clés Un Strater Pack: ( kit de formation, boites à outils, artefact...)pour accompagner les ressources impactés par le test avant la mise à l'échelle </t>
  </si>
  <si>
    <t>Square Management est intervenu en tant qu'Expert organisation Agile à l'échelle auprès de la Direction Recherche et Développement de VALEO. Le contexte de la mission était l'intégration stratégique de l'Intelligence Artificielle pour optimiser les chaînes de production.
Le rôle de Square Management a été de diagnostiquer l'organisation existante et de préconiser un modèle organisationnel cible idéal pour l'intégration des cas d'usage IA validés post POC.
La mission a abouti à la définition d'un Target Operating Model basé sur Scrum of Scrums, un processus de gestion de la demande centré sur la valeur, et la clarification de nouveaux rôles clés.
Ces livrables, incluant un kit de démarrage (Starter Pack), ont été testés sur trois équipes pilotes avant la mise à l'échelle.</t>
  </si>
  <si>
    <t xml:space="preserve">Chef de la recherche IA </t>
  </si>
  <si>
    <t>Ailancy AI</t>
  </si>
  <si>
    <t>Suivi de l’adoption IA &amp; ML</t>
  </si>
  <si>
    <t xml:space="preserve">Développement offre IA </t>
  </si>
  <si>
    <t>Le cabinet de conseil Ailancy a récemment ouvert sa filiale IA. Dans le cadre d’un domaine en pleine expansion, la stratégie d’Ailancy AI s’axe autant sur une maitrise technique des outils IAs que sur une offre d'acculturation et de développement interne des compétences IA chez le client.</t>
  </si>
  <si>
    <t xml:space="preserve">Les objectifs de la mission furent : Réaliser une étude sectorielle de l'impact des dernières révolutions technologiques (web 1.0 (information), 2.0 (social), 3.0 (objets)) Faire une revue de la littérature des stratégies de transformations et de leurs impacts humains Proposer des mesures d’adoption et d’impact de l’IA au sein d’une organisation Établir des stratégies adaptatives d’accompagnements du déploiement IA  Livrables : Revue des impacts organisationnels des révolutions techniques 3 stratégies de déploiements massifs 3 KPI de suivi des  soft-skills IA </t>
  </si>
  <si>
    <t>Square Management est intervenu en tant que Chef de la recherche IA auprès d'Ailancy AI pour le développement de leur offre IA, dans un contexte de création de la filiale IA du cabinet. La stratégie d’Ailancy AI s'articule autour de la maîtrise technique des outils IA et du développement des compétences IA chez le client. La mission a consisté à réaliser une étude de l'impact des révolutions technologiques, proposer des mesures d'adoption et d'impact de l'IA au sein des organisations, et établir des stratégies adaptatives d'accompagnement pour le déploiement de l'IA.</t>
  </si>
  <si>
    <t>Chef de la recherche IA &amp; Animateur</t>
  </si>
  <si>
    <t>Formation IA &amp; ML</t>
  </si>
  <si>
    <t>Le cabinet de conseil Ailancy a récemment ouvert sa filiale IA. Dans le cadre d’un domaine en pleine expansion, la stratégie d’Ailancy AI s’axe autant sur une maitrise technique des outils IAs que sur une offre d’aculturation et de développement interne des compétences IA chez le client.</t>
  </si>
  <si>
    <t>Les objectifs de la mission furent : Faire monter en compétences techniques la jeune équipe (1 chercheur, 1 consultant, 3 data scientistes juniors) ChatBot, RAG, AI agentics, Interface web Former l’équipe aux techniques cognitives de formations métiers, vulgarisation techniques et de rétentions d’information Disséminer l’offre auprès des prospects : salons, rencontres clients et partenaires (CA, BNP, Natixis, Microsoft) Disséminer l’offre en interne (Partner, BM, consultants) Élaborer le support de l’offre : 5 decks, 80 slides chacun Module 01 - IA moderne, concepts et usages pratiques (6h) Module 02 - ML &amp; data, déploiement et gestion de projets (6h) Module 03 - Législations, biais et gestion de risques (6h) Module 04 - Automatisation, facilitation de processus et restructuration (6h) Module 05 - Prise de décisions automatisés et IAs pour la direction (6h) Assembler une base d’outils démonstratifs et de solutions commerciales. Assembler une base de données de cas applicatifs et d’exemples industriels, des concepts techniques.  Livrables : 8 Decks de formations (8x6h) Base de données de personnalisation rapides des supports (outils &amp; exemples) Formation de 3 intervenants</t>
  </si>
  <si>
    <t>Square Management est intervenu en tant que Chef de la recherche IA &amp; Animateur au sein de la nouvelle filiale IA d'Ailancy AI, dont la stratégie est axée sur la maîtrise technique des outils IA et le développement des compétences internes chez le client.
Le rôle a consisté à faire monter en compétences techniques l'équipe sur des outils IA (ChatBot, RAG, AI agentics), et à les former aux techniques de vulgarisation pour les formations métiers.
La mission comprenait également la dissémination de l'offre IA auprès des prospects et en interne.
Pour ce faire, 5 modules de formation IA détaillés (IA moderne, ML &amp; data, Législations/biais, Automatisation, Prise de décisions) ont été élaborés.
L'objectif était d'assembler une base d'outils démonstratifs et de cas applicatifs pour soutenir le développement de l'offre IA.</t>
  </si>
  <si>
    <t>Chef de projet - Migrations</t>
  </si>
  <si>
    <t>COFACE</t>
  </si>
  <si>
    <t>Coface Global Solution (CGS)</t>
  </si>
  <si>
    <t>Project manager : migration CGS</t>
  </si>
  <si>
    <t>Dans une optique de réduction des coûts et de maîtrise des risques, Coface a décidé de changer d'offre (GlobaLiner) et de l'adosser à un nouvel outil (GAP). Au sein de l'équipe Coface Global Solution (CGS), il intervenait pour suivre la migration de tous nos programmes (plus de 600) vers la nouvelle offre.</t>
  </si>
  <si>
    <t xml:space="preserve">Sa mission se passait avec ma manager et un alternant Ses activités se scindaient en deux parties, l'une sur le suivi du projet : Suivi des process / développement de l'outil qui impacte notre capacité à migrer Pilotage la migration (weekly, monthly) Réalisation de dashboard et KPI pour l'ensemble des actions post-migration L'autre sur la partie change management : Organisation de points ad hoc pour les programmes les plus difficiles à migrer Participation à la Newsletter du projet, réalisation d'un baromètre Formations à un outil IA de screening des contrats   </t>
  </si>
  <si>
    <t>Square Management est intervenu en tant que Chef de projet - Migrations au sein de Coface Global Solution (CGS), dans le cadre de la migration de programmes vers une nouvelle offre pour la réduction des coûts et la maîtrise des risques. La mission principale était le suivi du projet de migration et le change management. Concernant l'IA, le consultant a participé à la partie change management en assurant des formations à un outil d'Intelligence Artificielle (IA) de screening des contrats, soulignant ainsi l'intégration d'outils innovants dans le processus de transformation.</t>
  </si>
  <si>
    <t>PMO / Consultant</t>
  </si>
  <si>
    <t>CARMIGNAC</t>
  </si>
  <si>
    <t>COO / DSI / Excellence Opérationnelle</t>
  </si>
  <si>
    <t>Excellence Opérationnelle - PMO programme de transformation data, PPM,  exercice budgétaire et IA</t>
  </si>
  <si>
    <t>Rattachée au COO, l'équipe Excellence Opérationnelle est responsable entre autres d'assurer le suivi du portefeuille de projets, la coordination des initatives d'Intelligence Artificielle et de l'exercice budgétaire. L'équipe assure sur ces chantiers le bon avancement des activités ainsi que la visibilité et le reporting avec le Management. L'Excellence Opérationnelle joue aussi un rôle de coordination pour la préparation des comités de govuernance avec le Management.</t>
  </si>
  <si>
    <t>Programme Enterprise Data Management : Réorganisation de la gouvernance du programme, redéfinition des KPIs et du reporting. Rôle de sonde sur les équipes de développement et sur la fluidité des échanges au sein des groupes de travail Coordination avec les équipes métiers pour assurer la cohérence des développements avec les besoins exprimés Gestion de la passation de la direction de programme ainsi que de la revue budgétaire et des renégociations avec les prestataires Sur le portefeuille de projets de Carmignac : Suivi des instances de gouvernance des projets majeurs et de leur cohérence avec les bonnes pratiques et les procédures internes. Coordination entre les équipes projets, les métiers et l’Architecture IT, le RSSI, Compliance, Legal et RGPD et gestion des dépendances Remontée des alertes au management et suivi des plans de remédiation où nécessaire Sur le pilotage de l'exercice budgétaire : Préparation des templates et coordination des équipes métier, IT et Opérations pour la collecte des besoins et la définition des budgets sur la base des directives du management Accompagnement des équipes dans la sélection des projets et dans la validation de l’allocation des ressources et coordination des initiatives de réduction des coûts Préparation des supports à destination de la Direction Générale pour la validation des budgets annuels Sur les initiatives d'Intelligence Artificielle : Définition d’une stratégie de déploiement des outils d’Intelligence Artificielle autour de trois piliers: (i) une solution de type « chatbot » destinée à tous les utilisateurs, (ii) des solutions customisées basées sur des Use Cases spécifiques, (iii) d’autres solutions de type « assistant »</t>
  </si>
  <si>
    <t>Square Management est intervenu en tant que PMO / Consultant auprès de l'équipe Excellence Opérationnelle de CARMIGNAC, rattachée au COO/DSI. L'équipe est responsable de la coordination des initiatives d'Intelligence Artificielle. Le rôle a consisté à définir une stratégie de déploiement des outils d’Intelligence Artificielle autour de trois piliers : un chatbot pour les utilisateurs, des solutions customisées basées sur des cas d'usage spécifiques, et d'autres solutions de type "assistant". La mission comprenait également le PMO du programme de transformation data et le pilotage de l'exercice budgétaire.</t>
  </si>
  <si>
    <t>Speaker IA &amp; Management de  l'innovation</t>
  </si>
  <si>
    <t>RH GROUPE</t>
  </si>
  <si>
    <t>Conférence sur l'IA auprès de tous les responsables RH</t>
  </si>
  <si>
    <t>CONFÉRENCE &amp; ACCULTURATION SUR LES LLM ET L’IA GÉNÉRATIVE POUR LE METIER RH Présentation sur l'apport de l'IA générative et LLM en RH auprès des responsables RH du groupe. Illustration de cas d'usage, des limites, de l'éthique et de la réglementation (IA ACT).</t>
  </si>
  <si>
    <t>CONFÉRENCE &amp; ACCULTURATION SUR LES LLM ET L’IA GÉNÉRATIVE POUR LES RESPONSABLES RH DE BPCE</t>
  </si>
  <si>
    <t>Square Management est intervenu en tant que Speaker IA &amp; Management de l'innovation auprès de BPCE (RH GROUPE). La mission était une conférence et acculturation sur l'apport des LLM et de l'IA Générative pour les responsables RH du groupe. Le rôle de Square Management a consisté à présenter l'IA générative en RH, en illustrant les cas d'usage, les limites, l'éthique et la réglementation (IA ACT). L'objectif était de sensibiliser et de former les responsables RH du groupe BPCE sur ces nouvelles technologies.</t>
  </si>
  <si>
    <t>PORTFOLIO MANAGER FRANCE</t>
  </si>
  <si>
    <t>SCALE AI</t>
  </si>
  <si>
    <t>MANAGEMENT DE PROJETS IA GENERATIVE</t>
  </si>
  <si>
    <t>Dans un contexte d'hypercroissance, son rôle était situé à l'intersection de la gestion de projet opérationnelle et de l'amélioration de la qualité linguistique pour l'Intelligence Artificielle Générative, visant à rendre un modèle d'IA générative précis, pertinent et conforme aux standards européens pour des applications nécessitant une haute fiabilité prédictive. NB : Scale AI est l'infrastructure invisible mais critique qui permet aux modèles d'IA générative d'exister et de s'améliorer.</t>
  </si>
  <si>
    <t>Gestion des flux de travail : Organiser et prioriser la file d'attente ("queue") des tâches de vérification et d'annotation pour garantir un flux de travail continu et optimisé. Réduire les goulots d'étranglement et allouer les ressources humaines (annotateurs, experts linguistiques) en fonction des besoins critiques de l'entraînement du modèle.  Qualité des livrables : Définir et faire appliquer des critères d'évaluation précis (scorecards) pour mesurer l'authenticité, le ton et l'adéquation culturelle du contenu généré en français. Superviser la qualité des données réintégrées dans le modèle pour accélérer la convergence vers un style d'écriture naturelle et sophistiquée.  Coordination et Formation : Point de liaison technique et linguistique entre les équipes de Data Science et les équipes opérationnelles. Former les contributeurs aux enjeux, subtilités linguistiques et aux attentes culturelles spécifiques requises pour l'amélioration du modèle.</t>
  </si>
  <si>
    <t>Square Management est intervenu en tant que PORTFOLIO MANAGER FRANCE chez SCALE AI, une infrastructure critique pour l'Intelligence Artificielle Générative. Le contexte de la mission était l'hypercroissance et l'amélioration de la qualité linguistique pour un modèle d'IA générative, visant la précision et la conformité aux standards européens. Le rôle a consisté à gérer les projets d'IA générative en organisant les flux de travail (vérification/annotation), définissant les critères de qualité linguistique pour le contenu français, et assurant la coordination/formation entre les équipes Data Science et opérationnelles pour l'amélioration du modèle.</t>
  </si>
  <si>
    <t>PRODUCT OWNER</t>
  </si>
  <si>
    <t>BDDF/DRO/DGT/POW</t>
  </si>
  <si>
    <t>Product Owner SG Agenda Outil de prise de RDV en ligne</t>
  </si>
  <si>
    <t xml:space="preserve">L'outil SG Agenda, dédié à la prise de rendez-vous avec un conseiller en agence ou par téléphone, évolue en permanence pour s’adapter aux besoins des clients particuliers et professionnels. La mission consiste à optimiser le parcours de prise de rendez-vous en étroite collaboration avec les équipes des marchés et les collaborateurs sur le terrain. Cette optimisation vise à élargir l’accès à SG Agenda à d’autres segments de clientèle, notamment les prospects PRO, ainsi que pour les collaborateurs des centres de relation clientèle, les conseillers patrimoniaux et les conseillers SG Direct. L’objectif est d’améliorer l’expérience utilisateur et d’accroître l’efficacité opérationnelle, tout en garantissant une meilleure satisfaction client. </t>
  </si>
  <si>
    <t>•Définir la vision produit et optimiser les parcours clients ainsi que l’expérience utilisateur Développer et maintenir la vision de SG Agenda, en s'assurant que l'outil offre les fonctionnalités adéquates, en tenant compte des attentes des utilisateurs, de l'optimisation des parcours clients, et des objectifs de l'entreprise. Conduire des analyses de parcours, des benchmarks, et une veille concurrentielle afin d'identifier les meilleures pratiques en matière de gestion de l’expérience utilisateur. Établir une roadmap claire permettant de prioriser les développements en fonction des expériences clients, des avis utilisateurs, et des priorités business, tout en garantissant une amélioration continue. •Travailler en étroite collaboration avec les équipes et encadrer les équipes internes Collaborer étroitement avec les équipes techniques, UX/U, ainsi qu'avec les équipes en charge de la gestion de l’expérience client à l’échelle du groupe, pour traduire les besoins en expériences utilisateurs concrètes. Partager le knowledge management avec l'équipe IA Générative afin de pouvoir à terme ouvrir la prise de rendez-vous par chatbot/callbot, en lien avec les interactions client omnicanal. Coacher et former les équipes sur les meilleures pratiques en gestion et optimisation des flux clients. Animer les cérémonies Agile comme les sprint planning, les démos, et les rétrospectives, afin d'assurer une bonne coordination, et une exécution fluide des tâches. •Recueillir et prioriser les besoins Rédiger les expressions de besoin et identifier les axes d'amélioration pour proposer des évolutions pertinentes. Être attentif aux nouvelles tendances technologiques, telles que les outils d’optimisation de l’expérience client, et aux meilleures pratiques, afin d'intégrer des innovations apportant de la valeur •Suivre la performance du produit Définir des indicateurs de performance clés (KPI) pour mesurer l'impact des fonctionnalités déployées, l'adoption du produit et l'efficacité des parcours. Mettre en place des cartes de parcours client et des personasafin de suivre de près les interactions à chaque étape. Partager régulièrement les résultats avec les parties prenantes, en présentant les succès et les points d’amélioration, tout en ajustant les priorités si nécessaire.</t>
  </si>
  <si>
    <t>Square Management est intervenu en tant que Product Owner chez SOCIETE GENERALE (BDDF/DRO/DGT/POW) sur l'outil "SG Agenda" de prise de rendez-vous en ligne.
Le contexte de la mission était d'optimiser le parcours de prise de rendez-vous pour améliorer l'expérience utilisateur et l'efficacité opérationnelle.
Le rôle de Square Management comprenait le partage de connaissances avec l'équipe IA Générative.
L'objectif IA était d'ouvrir, à terme, la prise de rendez-vous via chatbot/callbot pour s'intégrer dans les interactions client omnicanal.
Le rôle impliquait également la définition de la vision produit, l'établissement de la roadmap, le recueil des besoins et le suivi de la performance.</t>
  </si>
  <si>
    <t>Testeur de librairie</t>
  </si>
  <si>
    <t>SRC</t>
  </si>
  <si>
    <t>Explicabilité LLM : benchmark des méthodes d'évaluation</t>
  </si>
  <si>
    <t>BEExAI est un outil open source permettant d'évaluer quantitativement, de comparer et de comparer des méthodes d'IA explicable post-hoc - attribution de fonctionnalités - sur plusieurs modèles de Machine Learning avec un pipeline de bout en bout.</t>
  </si>
  <si>
    <t>Explicabilité des modèles Objectif : Dans le cadre du développement et de la publication de la librairie python BeexAI du Square Research Center, le besoin était de tester celle-ci sur plusieurs aspects afin de corriger les erreurs.  L'objectif a donc été de regarder si les scripts fonctionnaient pour les plusieurs modèles : - Régression linéaire, régression logistique - Forêt aléatoire - Arbre de décision - Gradient Boosting - XGBoost - Dense Neural Network  Modification des scripts benchmark permettant d'exporter tous les résultats d'un dataset selon plusieurs métriques, selon plusieurs modèles et selon plusieurs méthodes d'explicabilité (ShapleyValueSampling, IntegratedGradients...).</t>
  </si>
  <si>
    <t>Square Management est intervenu en tant que Testeur de librairie auprès du Square Research Center (SRC) sur le projet "Explicabilité LLM : benchmark des méthodes d'évaluation".
Le contexte de la mission est le développement et la publication de la librairie python open source BEExAI, un outil d'évaluation quantitative des méthodes d'IA explicable post-hoc sur divers modèles de Machine Learning.
Le rôle a consisté à tester la librairie sur plusieurs aspects (Régression linéaire, Forêt aléatoire, etc.) et à modifier les scripts pour exporter les résultats selon différentes métriques et méthodes d'explicabilité (ShapleyValueSampling, IntegratedGradients).
L'objectif était d'assurer le bon fonctionnement de la librairie pour l'explicabilité des modèles d'IA et de corriger les erreurs.</t>
  </si>
  <si>
    <t>PMO Data &amp; acculturation à l'IA Gen</t>
  </si>
  <si>
    <t>La Poste - BGPN</t>
  </si>
  <si>
    <t>Direction Data-IA La Poste BGPN</t>
  </si>
  <si>
    <t>PMO Data &amp; IA Gen</t>
  </si>
  <si>
    <t>La Direction DATA-IA de La Poste BGPN pilote de nombreux projets data, tels que la création de dashboard sur Tableau ou encore l'ingestion de sources de données dans le Datalake Groupe... En mars 2024, la direction lance son Train Agile avec ses équipes IT dédiées et souhaite développer des projets d'IA générative à intégrer dans son backlog. La mission de PMO consiste à développer le nouveau Train Agile et gérer le portefeuille projets Data-IA en collaboration avec le responsable des usages et le Chief Data Officer.</t>
  </si>
  <si>
    <t xml:space="preserve">1. PMO : Méthode Agile : Organisation et animation des événements agiles : PI Planning, PO Sync, System demo, Program backlog... Création d'un nouveau board JIRA : paramétrage du projet, des tickets, du tableau de bord, des KPIs Gestion de projets Data : Proxy PO : animation d'ateliers de cadrage avec Métiers pour de l'émergence de nouveaux besoins PO : gestion de projets d'ingestion de nouvelles données dans le Datalake Groupe avec le Métier et l'IT Communication : Organisation et animation de séminaires entre l'équipe projets et l'IT : événementiel, ateliers de travail, icebreaker... Création de templates projet : cadrage de besoin, carte d'identité des base de données, catalogue des projets data terminés à destination des Métiers (objectifs, étapes du projets, résultats...) Animation interne de l'équipe : point d'équipe bi-mensuel, petits déjeuners, teambuilding, afterwork...  2. IA GENERATIVE : Elaboration d'une formation pour monter en compétences sur l'IA Générative, destinée à l'acculturation des équipes PO data : fonctionnement LLM, déploiement d'un solution, outils, enjeux, risques, réglementations... Proposition de cas d'usage d'IA Générative pour la Direction Client et omnicanalité Veille sur l'IA Générative : construction d'une bibliothèque de sources avec des articles, webinars, formations... Acculturation à l'IA Gen des équipes DATA BGPN  </t>
  </si>
  <si>
    <t>Square Management est intervenu en tant que PMO Data &amp; acculturation à l'IA Gen au sein de la Direction DATA-IA de La Poste BGPN, qui lance son Train Agile pour développer des projets d'IA générative.
Le rôle a consisté à développer le nouveau Train Agile, gérer le portefeuille projets Data-IA, et organiser l'acculturation des équipes à l'IA Générative (fonctionnement LLM, outils, enjeux, risques, réglementations).
La mission incluait l'élaboration de formations sur l'IA Générative et la proposition de cas d'usage pour la Direction Client.
L'objectif était de gérer les projets data/IA et d'assurer la montée en compétence des équipes sur ce sujet émergent.
Cela a permis d'intégrer l'IA Générative dans le backlog projet de la Direction.</t>
  </si>
  <si>
    <t>Cadrage projet climatique</t>
  </si>
  <si>
    <t>GROUPAMA AM</t>
  </si>
  <si>
    <t>Direction Sinistres et Prestations</t>
  </si>
  <si>
    <t>Projets Climatiques - Direction Indemnisation - Dommages aux biens</t>
  </si>
  <si>
    <t>Groupama souhaite réaliser une étude sur l'impact des évènements climatiques sur l'organisation et les parcours clients et collaborateurs sur la base des constats suivants : 1- Des évènements climatiques plus fréquents, plus violents. 2- Des sinistres plus coûteux (volumétrie et gravité des sinistres). 3- Dégradation de l’activité courante des caisses régionales avec le traitement d’un grand nombre de sinistres en peu de temps. 4- Des entraides entre caisses régionales qui ne sont plus suffisantes. 5- Une expérience client dégradée liée au délai de traitement des sinistres. 6- Une volonté d’être plus efficace sur le provisionnement des dossiers et sur la détection des dossiers importants. L'expérience client, l'efficacité opérationnelle et la maîtrise des coûts sont les 3 piliers de cette étude.</t>
  </si>
  <si>
    <t>Enjeux : Gagner en efficacité et réactivité en cas d’évènements climatiques vis-à-vis de nos clients Automatiser et simplifier le parcours client DAB Climatique pour améliorer la satisfaction client en lien avec l’expérience client sans dégrader l’activité courante et l’INR Améliorer et harmoniser l’organisation des process pour une meilleure maîtrise des dossiers en gestion. Intégrer la population des élus dans ce process d'évènements climatiques Favoriser le mode d’indemnisation préconisé par la caisse (Gré à Gré ou le REN) via des automatisations pour désengorger le gestionnaire (avec réflexion autour du Selfcare) S’assurer de garder les valeurs humaines de Groupama dans le cadre des orientations prises. Définir la feuille de route 2025 en identifiant de tous les chantiers liés au climatique Au delà de ce cadrage, Laura est intervenue sur : POC IA sur une déclaration instantanée pour les évènements climatiques POC IA sur la grêle, modèle de prédiction Définitions des chantiers climatiques : Cellule de crise, Réponse opérationnelle, Chiffrage à chaud, Estimation de l'ultime, Rôles des élus, Entraide communautaire, Parcours clients. Chantier Prédict sur les enjeux de préventions en climatique (Communication clients et caisses régionales, fiches de prévention, nouvelle architecture)</t>
  </si>
  <si>
    <t>Un problème est survenu. Réessayez.</t>
  </si>
  <si>
    <t>Animateur et enseignant</t>
  </si>
  <si>
    <t>Partenaires multiples</t>
  </si>
  <si>
    <t>RH/centre de formation/ministères/events</t>
  </si>
  <si>
    <t>Vulgarisation et accompagnement Scientifique</t>
  </si>
  <si>
    <t>Féru de projets multidisciplinaires et collaboratifs, j'ai à cœur de rendre mes expertises (Stats, data, IA, neurosciences) intelligible et abordable pour tous les profils. Pour dépasser la simple transmission académique, j’aborde chaque intervention par l’angle des attentes professionnelles de l’audience et des ressorts cognitifs maximisant la rétention du message et mon impact.</t>
  </si>
  <si>
    <t>Interventions et accompagnements variés : Déploiements de nudges pour la mission ministérielle de modernisation de l’action publique Symposiums scientifiques internationaux pour chercheurs en économie, cognition et informatique Algèbre et Géométrie, pour L1 et L3 avec Sorbonne université (200h) Formation aux biais cognitifs des jeunes de ZEP avec l’ENS Ulm (2 ans)  Livrables : Interventions Support de présentation Posters Ateliers de réflexion Ateliers de mise en œuvre</t>
  </si>
  <si>
    <t>Square Management est intervenu en tant qu'Animateur et enseignant auprès de Partenaires multiples (RH/centre de formation/ministères/events).
Le consultant a eu à cœur de rendre ses expertises en IA, data et neurosciences intelligibles et abordables pour tous les profils.
Le rôle a consisté en des interventions et accompagnements variés, notamment des symposiums scientifiques pour chercheurs en informatique et des formations.
La mission se concentre sur la vulgarisation scientifique pour dépasser la simple transmission académique.
Les livrables incluaient des supports de présentation, des ateliers de réflexion et de mise en œuvre.</t>
  </si>
  <si>
    <t>Chercheur Post-doctoral</t>
  </si>
  <si>
    <t>Université de Bonn – Allemagne</t>
  </si>
  <si>
    <t>Chaire d’IA et neurosciences</t>
  </si>
  <si>
    <t>Planification contrainte dans l’urgence</t>
  </si>
  <si>
    <t>Les décideurs ont régulièrement à établir et incarner des plans d’adaptations à grands enjeux. Pragmatiquement, ils sont cependant établis à partir de connaissance imparfaite, d’une explosion exponentielle des scénarios à moyens termes et bien souvent dans l’urgence. Étonnamment, les méthodes classiques d’optimisation algorithmiques formalisent parfaitement les problèmes de planification, mais divergent dramatiquement des comportements réels des décideurs. Dans ce cadre, l’université de Bonn ouvre un axe de recherche pour concilier modèles et observations.</t>
  </si>
  <si>
    <t>Les objectifs de la mission furent : Synthétiser les évolutions mathématiques et algorithmiques des 30 dernières années (200+ papiers de recherche) Établir un cadre formel d’analyse multimodal standardisant les différents objectifs poursuivis dans la littérature scientifiques Sélectionner, implémenter et comparer statistiquement les méthodes phares de chaque dimension du cadre susmentionné Personnaliser ces modèles pour rendre compte des données récoltés lors d’expérience de mise en condition  Livrables : Pipeline de déploiement et d’analyse des modèles de planification Modélisation et analyses des compromis entre optimisations et abandons Article scientifique sur l’optimisation de planification contrainte dans l’urgence et les domaines exponentiels</t>
  </si>
  <si>
    <t>Square Management est intervenu en tant que Chercheur Post-doctoral au sein de la Chaire d’IA et neurosciences de l’Université de Bonn – Allemagne. La mission portait sur la planification contrainte dans l’urgence, visant à concilier les modèles d’optimisation algorithmiques classiques et les comportements réels des décideurs. Le rôle incluait la synthèse des évolutions mathématiques et algorithmiques en IA, l'établissement d'un cadre formel d'analyse, l'implémentation et la comparaison de méthodes phares, ainsi que la personnalisation de ces modèles. Le livrable principal était un article scientifique sur l’optimisation de planification contrainte.</t>
  </si>
  <si>
    <t>Directeur de mission - Expert LCB-FT</t>
  </si>
  <si>
    <t>AXA France</t>
  </si>
  <si>
    <t>Direction de la conformité</t>
  </si>
  <si>
    <t>Amélioration du dispositif de LCB-FT</t>
  </si>
  <si>
    <t>AXA France est une compagnie d'Assurances régulée par l'ACPR qui lui applique un niveau de diligence comparable à celui d'une banque systémique. Dans ce contexte, et dans le cadre des règlementations LCB-FT en cours de développement, AXA France souhaite relever le niveau de son dispositif de LCB-FT pour être "best in class".</t>
  </si>
  <si>
    <t xml:space="preserve">La mission consiste en l'amélioration de l'ensemble des fonctions liées à la LCB-FT, et en particulier : La revue des scénarios de blanchiment et financement du terrorisme; L'interconnexion des outils de lutte avec les applis front; L'intgération d'un module d'IA (intelligence artificielle) dans ses moteurs de filtrage; L'amélioration de la sensibilisation de ses collaborateurs; La digitalisation et la robotisation de tâches manuelles d'investigation; La fermeture de recommandations d'Audit Complexes </t>
  </si>
  <si>
    <t>Square Management est intervenu en tant que Directeur de mission - Expert LCB-FT auprès d'AXA France (Direction de la conformité) pour l'amélioration de son dispositif de Lutte Contre le Blanchiment et le Financement du Terrorisme (LCB-FT). Dans un contexte de forte réglementation, la mission visait à faire d'AXA France le "best in class" dans ce domaine. Une partie essentielle du rôle incluait l'intégration d'un module d'IA (intelligence artificielle) dans les moteurs de filtrage, ainsi que la revue des scénarios de blanchiment et la digitalisation de tâches manuelles d'investigation.</t>
  </si>
  <si>
    <t>PO</t>
  </si>
  <si>
    <t>SG BDDF</t>
  </si>
  <si>
    <t>Proactivité Digitale</t>
  </si>
  <si>
    <t>Maintenance opérationnelle et amélioration continue de SoBot</t>
  </si>
  <si>
    <t xml:space="preserve">Intervient avec un autre consultant Square en tant que PO sur SoBot, chatbot de la SG en remplacement de deux consultants Wavestone. </t>
  </si>
  <si>
    <t>Analyse des conversations du chatbot avec les clients Particuliers et Professionnels permettant d'identifier les principaux irritants et les questions non-couvertes par SoBot. Priorisation du backlog et suivi des différentes étapes de dévellopement de chaque nouvelle fonctionnalité jusqu'à la phase de recette. Maintenance opérationnelle du chatbot; Conduite de rénions de cadrage autour du remplacement de la solution exisitante par une solution d'IA. Mise en place de reportings d'activité mensuels.</t>
  </si>
  <si>
    <t>Square Management est intervenu en tant que Product Owner (PO) au sein de SG BDDF (Proactivité Digitale) sur le chatbot SoBot.
Le contexte de la mission était la maintenance opérationnelle et l'amélioration continue de ce chatbot.
Le rôle de Square Management a consisté à analyser les conversations clients, prioriser le backlog, et assurer le suivi des développements de nouvelles fonctionnalités.
Un axe majeur de la mission concernait l'Intelligence Artificielle (IA), notamment la conduite de réunions de cadrage pour le remplacement de la solution existante par une solution basée sur l'IA.
L'objectif était d'améliorer l'efficacité du chatbot et d'intégrer des solutions d'IA pour une meilleure gestion des interactions clients.</t>
  </si>
  <si>
    <t>Content Manager / Référent technique</t>
  </si>
  <si>
    <t>Intégration d'un outil IA dans l'application client</t>
  </si>
  <si>
    <t>Ayant à cœur de satisfaire au mieux ses clients, la société générale s’est fixée un objectif d’obtenir une notation élevée de satisfaction pour son application. Pour réaliser cet objectif, un projet d’implantation d’intelligence artificielle a été planifié pour accompagner au mieux les clients. Des conseils proactifs et prédictifs permettrons aux clients de mieux gérer leurs comptes au quotidien. C’est dans cet environnement que j’ai été positionné comme référent technique de la solution.</t>
  </si>
  <si>
    <t>Référent technique – Mise en place d’un référentiel d’Insights et rédaction de spécification technico-fonctionnelle. – Suivi du développement des Insights : Définition fonctionnelle, design system via figma, création et implantation dans la console – Animation d’atelier de démonstration à destination des autres directions – Échange avec le prestataire : Organisation, timeline, remontée d’anomalie, expression de besoin – Participation à la mise en place de la stratégie de test  Content Manager - Implantation de la solution - Création d’insights personnalisés (Récupération du besoin, transcription, paramétrage, création visuelle) - Mise en place du process de wording - Validation juridique et compliance - Supervision et réalisation du bêta-test de la console</t>
  </si>
  <si>
    <t>Square Management est intervenu en tant que Content Manager / Référent technique au sein de la DSI de SG, pour l'intégration d'un outil d'Intelligence Artificielle dans l'application client.
Cette initiative vise à améliorer la satisfaction client en fournissant des conseils proactifs et prédictifs via l'IA pour la gestion quotidienne des comptes.
Le rôle a consisté à être référent technique pour la solution, notamment via la mise en place d'un référentiel d'Insights et la rédaction de spécifications technico-fonctionnelles.
Il a également agi comme Content Manager en créant et paramétrant les *insights* personnalisés, assurant la validation juridique et le *beta-test* de la console.
L'objectif central est l'implantation réussie de l'IA pour un accompagnement client optimisé.</t>
  </si>
  <si>
    <t>LVMH</t>
  </si>
  <si>
    <t>Expérience client</t>
  </si>
  <si>
    <t>Etude expérience client</t>
  </si>
  <si>
    <t>L'objectif de la mission est de comprendre les tendances et les innovations qui façonnent l'expérience client dans le secteur du retail et du luxe en 2024. Nous souhaitons déceler les opportunités stratégiques et transformer ces insights en actions concrètes pour améliorer le parcours client omnicanal et phygital.</t>
  </si>
  <si>
    <t>Le livrable final s'est découpé en 2 parties. Les recherches ont notamment été fait en client mystère sur le terrain.  1. État de l'Art Actuel (Partie 1) : Analyse approfondie des expériences retail existantes en 2024. Identification des tendances émergentes en matière d'expérience client, de concepts de boutiques et d'innovations. Évaluation des différents touchpoints et canaux de communication utilisés dans le parcours client. Comprendre comment l'expérience client et vendeur a été digitalisée grâce à une politique d'innovation. Identifier les fonctionnalités mise à disposition des conseillers permettant d’enrichir et d’améliorer l’expérience client et vendeur. 2. Vision Prospective (Partie 2) : Projection dans l'avenir de l'expérience client en intégrant les nouvelles technologies telles que le Metaverse, les NFT, l'IA, les expériences 3D, les vitrines ou cabines d'essayage digital, etc. Proposition de scénarios prospectifs pour l'évolution de l'expérience client 3.0. Identification des opportunités stratégiques pour notre entreprise dans ce nouvel environnement.</t>
  </si>
  <si>
    <t>Square Management est intervenu en tant que Chef de projet auprès de LVMH (Expérience client) pour une étude sur l'évolution de l'expérience client dans le secteur du luxe et du retail. La mission visait à analyser les tendances actuelles et à définir une vision prospective de l'expérience client 3.0.
L'étude a intégré l'IA dans la partie prospective, en proposant des scénarios futurs pour le parcours client omnicanal et phygital, notamment l'intégration de nouvelles technologies comme l'IA pour enrichir l'expérience client.</t>
  </si>
  <si>
    <t>Consultante</t>
  </si>
  <si>
    <t>MH</t>
  </si>
  <si>
    <t>Benchmark expérience client</t>
  </si>
  <si>
    <t>Dans le cadre de l’évolution des attentes des consommateurs et des innovations technologiques dans le secteur du retail, MH souhaitait réaliser un état des lieux du marché de l’expérience client. 
L’objectif était d’identifier les meilleures pratiques, les tendances émergentes et les opportunités pour améliorer leur parcours client omnicanal et proposer une vision prospective intégrant des solutions innovantes.</t>
  </si>
  <si>
    <t>Léna a mené une mission de mystery shopping sur le terrain pour analyser en profondeur les expériences retail existantes en 2024 et évaluer les différents touchpoints du parcours client. Analyse des tendances et évaluation des innovations : L’identification des tendances émergentes en matière d’expérience client, de concepts de boutiques et d’innovations technologiques. L’évaluation des canaux de communication utilisés et des fonctionnalités mises à disposition des conseillers pour enrichir l’expérience client et vendeur. La digitalisation de l’expérience client via des politiques d’innovation incluant des outils digitaux.  Vision prospective et recommandations stratégiques : Une vision prospective intégrant des technologies de pointe (Metaverse, NFT, IA, expériences 3D) avec la proposition de scénarios pour l’expérience client 3.0. Elle a ainsi proposé des recommandations stratégiques concrètes à MH afin d’améliorer leur positionnement en matière d’expérience client et de préparer leur évolution vers un retail plus digitalisé et immersif.</t>
  </si>
  <si>
    <t>Square Management est intervenu en tant que Consultante auprès de MOET HENNESSY (MH) pour réaliser un état des lieux de l'expérience client retail et définir une vision prospective, en réponse aux évolutions des attentes des consommateurs et des innovations technologiques. Le contexte de la mission était d'améliorer le parcours client omnicanal de MH en identifiant les meilleures pratiques et les tendances émergentes. Le rôle a consisté à mener un benchmark terrain et à proposer des recommandations stratégiques concrètes, incluant une vision prospective intégrant les technologies de pointe, notamment l'Intelligence Artificielle (IA). La consultante a proposé des scénarios pour l'expérience client 3.0 afin de préparer l'évolution de MH vers un retail plus digitalisé et immersif.</t>
  </si>
  <si>
    <t>-</t>
  </si>
  <si>
    <t>Etude de l'état de l'art des expériences client retail &amp; luxe</t>
  </si>
  <si>
    <t>MH souhaite comprendre les tendances et les innovations qui façonnent l'expérience client dans le secteur du retailet du luxe en 2024, afin de déceler les opportunités stratégiques et transformer ces insights en actions concrètes pour améliorer leur parcours client omnicanal et phygital.</t>
  </si>
  <si>
    <t xml:space="preserve">La mission consiste à analyser l'existant et avoir une vision prospective de l'avenir de l'expérience client dans le retail: 1. État de l'Art Actuel (Partie 1) : Analyse approfondie des expériences retailexistantes en 2024. Identification des tendances émergentes en matière d'expérience client, de concepts de boutiques et d'innovations. Évaluation des différents touchpointset canaux de communication utilisés dans le parcours client. Comprendre comment l'expérience client et vendeur a été digitalisée grâce à une politique d'innovation. Identifier les fonctionnalités mise à disposition des conseillers permettant d’enrichir et d’améliorer l’expérience client et vendeur. L'utilisation de clients mystères permettant d'obtenir des données qualitatives 2. Vision Prospective (Partie 2) : Projection dans l'avenir de l'expérience client en intégrant les nouvelles technologies telles que le Metaverse, les NFT, l'IA, les expériences 3D, les vitrines ou cabines d'essayage digital, etc. Proposition de scénarios prospectifs pour l'évolution de l'expérience client 3.0. Identification des opportunités stratégiques pour notre entreprise dans ce nouvel environnement.  Livraison attendue : Rapport détaillé en EN pour chaque partie de l'étude, incluant une analyse approfondie, des recommandations stratégiques et des exemples concrets. </t>
  </si>
  <si>
    <t>Square Management est intervenu en tant que Consultant auprès de MOET HENNESSY pour réaliser une étude stratégique de l'état de l'art des expériences client retail &amp; luxe. Le contexte était de déceler les opportunités stratégiques pour améliorer le parcours client omnicanal et phygital. La mission comprenait une analyse prospective intégrant les nouvelles technologies, et le rôle a été d'étudier l'avenir de l'expérience client 3.0 en y incluant l'Intelligence Artificielle (IA), le Métaverse et les NFT. L'objectif était de proposer des scénarios d'évolution et d'identifier les opportunités stratégiques, notamment l'intégration de l'IA pour la transformation des expériences client.</t>
  </si>
  <si>
    <t>International CRM project manager</t>
  </si>
  <si>
    <t xml:space="preserve">Direction omnicanale </t>
  </si>
  <si>
    <t>Chef de projet CRM - Relation data</t>
  </si>
  <si>
    <t>L'équipe Client Activation est en charge du déploiement de la stratégie de communication.  Julie occupait un rôle transverse en tant que cheffe de projet CRM. Elle faisait le lien entre l'équipe client activation (owner de la base de données client), l'équipe Datalab (owner de la CDP et développant des algorithmes afin d'optimiser les stratégies de contact) et l'équipe marketing client (owner de l'image de marque et des stratégies de contact).</t>
  </si>
  <si>
    <t>Mise en oeuvre opérationnelle du programme Data Accelerator dans Adobe Campaign V7 · Cadrage des cas d’usages visant à implémenter des outils d’IA dans les parcours client (algorithmes de prédiction de comportements, scores d'appétences aux produits,…) · Accompagnement des marchés dans la mise en place opérationnelle. Création de campagnes ponctuelles et de marketing automation  Orchestration des campagnes · Analyse de la pression commerciale et des KPIs de campagnes · Proposition d’un plan de priorisation des communications pour maximiser  la valeur générée et l'engagement client · Accompagnement des équipes techniques dans la refonte des typologies de contact  Data capture · Analyse de la base de données &amp; des points de collecte de données existants · Proposition d’un formulaire harmonisé afin d'améliorer la qualité de la donnée client et le taux de contactabilité marketing · Création d'un plan d'actions et identification des parties prenantes pour mise en place en 2024  UAT sur le changement de backoffice pour le site dior.com · Tests de non-regression CRM/création de compte sur le site · Coordination des équipes techniques dans la résolution des bugs</t>
  </si>
  <si>
    <t>Square Management est intervenu en tant que Chef de projet CRM international au sein de la Direction omnicanale de PARFUMS CHRISTIAN DIOR. La mission visait à optimiser la stratégie de communication client en intégrant l'Intelligence Artificielle. Le rôle a consisté notamment à cadrer les cas d'usage pour implémenter des outils d’IA (algorithmes de prédiction de comportements, scores d'appétences aux produits) dans les parcours client. Square Management a fait le lien entre l'équipe Client Activation et le Datalab (développant les algorithmes) pour la mise en œuvre opérationnelle du programme Data Accelerator et l'orchestration des campagnes.</t>
  </si>
  <si>
    <t>Consultant en gestion de l'Innovation</t>
  </si>
  <si>
    <t>IT, Pôle Innovation</t>
  </si>
  <si>
    <t>Pôle Innovation</t>
  </si>
  <si>
    <t>Le Directeur du pôle Innovation IT de BCEF cherche à cadrer une nouvelle démarche d’exploration technologique. L’intention de son équipe est d’explorer le potentiel de création de valeur de l’IA, notamment de l’IA générative. Auprès du Directeur du pôle, notre intervention débute par le questionnement de l’ambition d’étude. En miroir à un climat d’affaire dégradé, nous préférons proposer un Champ d’Innovation orienté design-to-save et chiffré : « Innover à l’IT pour gagner 20 % » .</t>
  </si>
  <si>
    <t>Le large degré d’ouverture de l’exploration est volontaire et assumé, en vue d’identifier des leviers IT en dehors du cadre connu permettant de générer des gains inattendus mais tangibles pour BNPP BCEF.  Tout l’enjeu est d’inscrire l’équipe dans une dynamique d’apprentissages pour dépasser les préconçus et ancrer la démarche dans une réalité organisationnelle. Définir le périmètre d’exploration IT qui fait sens.  Faire l’état des connaissances existantes et manquantes pour sortir des sentiers battus. L’étape se concrétise réellement par une série d’une dizaine d’interviews. Cette série d’interviews sert de collecte de données dans un contexte de knowledge management défaillant. Générer des concepts IT durables, légitimes, viables, désirables, acceptables, faisables à partir des interviews et de collectes de données. Evaluer, prioriser les concepts IT.</t>
  </si>
  <si>
    <t>Square Management est intervenu en tant que Consultant en gestion de l'Innovation auprès du Pôle Innovation IT de BNPP BCEF.
Le contexte de la mission était le cadrage d'une nouvelle démarche d’exploration technologique visant à évaluer le potentiel de création de valeur de l’Intelligence Artificielle, notamment de l’IA générative.
L'objectif était de proposer un Champ d’Innovation orienté "design-to-save" avec un objectif de gain de 20% pour l'IT.
Le rôle a impliqué la définition du périmètre d’exploration, la collecte de données via des interviews et la génération de concepts IT innovants.
La mission visait à identifier des leviers IT durables et tangibles pour BNPP BCEF.</t>
  </si>
  <si>
    <t>Consultant en Management de l'innovation</t>
  </si>
  <si>
    <t>Direction Innovation</t>
  </si>
  <si>
    <t>Exploration De cas d'usage GenAI au sein du départment juridique</t>
  </si>
  <si>
    <t>La mission confiée par Baloise Assurance est de concevoir et de mettre en œuvre des applications pratiques de l'intelligence artificielle générative pour le département juridique. Cela implique de partir des ppain points dans le département, de développer des solutions viables et mesurables, et de les déployer sur les serveurs internes de l'entreprise. Les cas d'usage seront évalués sur leur potentiel à l'échelle de l'organisation et font l'objet d'un suivi du COMEX et de la DG baloise Assurance.</t>
  </si>
  <si>
    <t>COMPRÉHENSION DES BESOINS ET JOBS TO BE DONE: Sessions de formation sur les avantages et les défis liés à l'IA dans le contexte juridique. Analyse des tâches quotidiennes du département juridique pour identifier les pain points que l'IA peut résoudre Interviews avec le personnel juridique pour déterminer les pain-points et cartographie des "jobs to be done"  FORMALISATION DES CAS D'USAGE ET CADRAGE DE L’EXPÉRIMENTATION: Développement de scénarios d'utilisation pour l'IA en collaboration avec les juristes, riorisationdescas d'usage en fonction de leur impact potentiel et de leur faisabilité technique, feuille de route pour l'expérimentation et les objectifs.  ÉLABORATION DES PROTOCOLES DE TESTS POUR EXPÉRIMENTATION: Mise en place de KPI et KRI pour évaluer l'efficacité des cas d'usage. Préparation des environnements de test, des données et des protocoles pour tester les scénarios d'utilisation.  DOING DE L’EXPÉRIMENTATION DES CAS D’USAGE: Exécution des tests des cas d'usage sélectionnés dans un environnement contrôlé.  MESURE DES RÉSULTATS, ANALYSE &amp; RECOMMANDATIONS: Analyse des données recueillies pendant la phase d'expérimentation pour évaluer les succès et les échecs. Rapport sur les performances, les costs cutting, les améliorations d'efficacité et l'impact sur le travail juridique.</t>
  </si>
  <si>
    <t>Square Management est intervenu en tant que Consultant en Management de l'innovation au sein de la Direction Innovation de BALOISE ASSURANCES. La mission était d'explorer et de mettre en œuvre des applications pratiques de l'Intelligence Artificielle Générative (GenAI) pour le département juridique.
Le rôle a consisté à identifier les besoins et les "pain points" (jobs to be done), formaliser les cas d'usage IA, et encadrer leur expérimentation. L'objectif était de développer des solutions viables, mesurables et déployables sur les serveurs internes.
Ceci impliquait la mise en place de protocoles de tests (KPI/KRI) pour mesurer les résultats, analyser l'impact (réduction des coûts, amélioration de l'efficacité) et faire des recommandations pour une application à l'échelle de l'organisation.</t>
  </si>
  <si>
    <t>PMO/ Program Manager</t>
  </si>
  <si>
    <t>Recherche et Innovation</t>
  </si>
  <si>
    <t>La Recherche et Innovation de l'OREAL mène une transformation digitale en profondeur, dont l'un des piliers; "Augmented Researcher", vise à renforcer les capacités d'innovation de ses Laboratoires en intégrant le digital, la data et la technologie au coeur des ways of working des chercheurs. Un programme qui vient soutenir les ambitions L'OREAL FOR THE FUTURE (engagements à 2030 en matière de Sustainability)</t>
  </si>
  <si>
    <t>Accompagnement de 2 initiatives stratégiques 1/ Innovation &amp; Reformulation for Green (Ambition : équiper les Laboratoires  d’outils, de Data, Design of experiment, machine Learning, et proposer une expérience de formulation "augmentée" depuis le brief marketing jusqu'à l'officialisation. Périmètre monde et tout métiers - 1500 users) 2/  Fast Color for Hair  (Ambition : réinventer la formulation capillaire grâce à des modèles d'IA prédictif et réduire par deux le time to market et répondre aux enjeux Green sur la Coloration) - Co-construction des ambitions et de la valeur apportée  : Enjeux, raison d'être, indicateurs de valeur  (User Experience/ Innovation / Efficiency) et objectifs chiffrés - Cadencement et accompagnement des phases de Framing, Build, Pilote et déploiement - Organisation de workshops ad hoc  (ex : user journey - vision as is/ to be, storymapping, stratégie change et plan d'adoption, tests utilisateurs, ...), d'un Design Sprint - Coordination d'une équipe pluridisiplinaire  : product owners, data, algo, UX designers, coach agiles, architectes fonctionnels, change management, UX Researcher, Responsables de Laboratoires, chimistes &amp; ingénieurs, Hubs internationaux (China, US), et autres project leaders en adhérence. -- Définition du budget, gestion des risques - Organisation et animation de la gouvernance, préparation des PI, supports à destination des sponsors et de membres du Comex R&amp;I</t>
  </si>
  <si>
    <t>Square Management est intervenu en tant que PMO/Program Manager au sein de la Recherche et Innovation de L'ORÉAL, pour accompagner la transformation digitale via le pilier "Augmented Researcher". La mission a soutenu des initiatives stratégiques axées sur l'Intelligence Artificielle. Le rôle a consisté à piloter des projets majeurs visant à intégrer le Machine Learning et des modèles d'IA prédictifs pour optimiser la formulation des produits (Fast Color for Hair) et réduire le time-to-market. Cela incluait la coordination d'équipes pluridisciplinaires (data, algo, product owners) et l'organisation de la gouvernance pour ces projets d'innovation.</t>
  </si>
  <si>
    <t>PMO pour le directeur de transofrmation BUA à la DSI</t>
  </si>
  <si>
    <t>PMO de transformation digitale : 
 - Déploiment d'outil de Strategic Porfolio Managment
 - Implémentation d'interface de relation client 
 - Modernisation de data warehouse / Data architecture 
 - Solutions d'IA sur mesure pour l'optimisation des process métiers
 - Pilotage d'équipes transverses</t>
  </si>
  <si>
    <t>Square Management est intervenu en tant que PMO auprès de la DSI de TDF, supportant le directeur de transformation BUA. La mission de transformation digitale comprenait la mise en place d'une feuille de route et l'accompagnement de plusieurs chantiers. Le rôle du PMO a inclus le pilotage d'initiatives stratégiques, notamment le déploiement de solutions d'IA sur mesure. Ces solutions visaient spécifiquement l'optimisation des processus métiers au sein de la BUA.</t>
  </si>
  <si>
    <t>Experte IA</t>
  </si>
  <si>
    <t>Expertise IA - NLP - LLMs</t>
  </si>
  <si>
    <t>Dans le cadre d'une expérimentation visant à déployer des outils d'IA générative pour divers cas d'utilisation sur Azure, une expertise en IA générative s'avère essentielle pour guider les décisions technologiques et approfondir la compréhension des concepts sous-jacents au RAG (Retrieval Augmented Generation), afin d'optimiser les résultats et de réduire les coûts.</t>
  </si>
  <si>
    <t>Mon intervention visait à : Former les équipes sur les concepts fondamentaux du RAG. Fournir des conseils sur les meilleures pratiques à adopter. Développer un outil flexible d'estimation des coûts de modèles RAG sur Azure, adaptable à divers cas d'utilisation. Analyser les études de cas commerciales et calculer le retour sur investissement. Offrir des recommandations et des conseils pour la suite des opérations.</t>
  </si>
  <si>
    <t>Square Management est intervenu en tant qu'Experte IA (NLP - LLMs) auprès de BALOISE ASSURANCES, dans le cadre d'une expérimentation visant à déployer des outils d'IA générative sur Azure.
Le contexte de la mission était de fournir une expertise en IA générative pour guider les décisions technologiques et approfondir la compréhension du concept RAG (Retrieval Augmented Generation), afin d'optimiser les résultats et de réduire les coûts.
Le rôle de Square Management a consisté à former les équipes sur les fondamentaux du RAG et à fournir des conseils sur les meilleures pratiques.
L'intervention a également inclus le développement d'un outil flexible pour l'estimation des coûts des modèles RAG sur Azure.
Enfin, Square Management a analysé des études de cas commerciales, calculé le ROI et formulé des recommandations stratégiques.</t>
  </si>
  <si>
    <t>Product Owner</t>
  </si>
  <si>
    <t>DRO</t>
  </si>
  <si>
    <t>SOBOT &amp; Feedback Management</t>
  </si>
  <si>
    <t>En tant que Product Owner, il a piloté le développement et l'intégration de SoBot, le chatbotSociété Générale pour particuliers et professionnels totalisant plus de 200 000 conversations mensuelles. Il a enrichi les fonctionnalités, intégré l'IA générative et coordonné les parties prenantes pour placer le chatbotau cœur de la relation digitale client</t>
  </si>
  <si>
    <t xml:space="preserve">Chatbot : SoBot, le chatbot de la Société Générale pour les particuliers et les professionnel  Gestion de l'évolution vers l'IA Générative : Élaboration de la stratégie du chatbot avec l'IA générative, alignée sur les objectifs de l'entreprise Priorisation des fonctionnalités et établissement de la roadmap Rédaction des user stories et spécifications fonctionnelles en collaboration avec les équipes techniques Supervision des tests et validation des réponses de l'IA Optimisation continue du chatbot actuel : Analyse des conversations clients et mise à jour de la base de connaissances Identification de nouvelles fonctionnalités et pilotage des sprints en méthode Agile Suivi de la roadmap produit et réalisation de rapports mensuels  Feedback Management : Administration de la solution de récolte des avis clients sur les parcours digitaux Gestion des comités de pilotage mensuels Gestion des demandes de campagnes des différentes équipes Formation des Product Owners aux bonnes pratiques de gestion de campagnes Monitoring des différentes campagnes en cours ou à diffuser sur les parcours Investigations pour des mises en place particulières </t>
  </si>
  <si>
    <t>Square Management est intervenu en tant que Product Owner auprès de SOCIETE GENERALE BDDF (DRO), pilotant l'évolution de SoBot, le chatbot de la banque, qui gère plus de 200 000 conversations mensuelles. La mission était centrée sur l'intégration de l'Intelligence Artificielle Générative (IA générative) pour enrichir les fonctionnalités du chatbot et le positionner au cœur de la relation client digitale. Le rôle a inclus l'élaboration de la stratégie IA, la priorisation de la roadmap, et la supervision des tests et de la validation des réponses de l'IA, tout en assurant l'optimisation continue du chatbot existant.</t>
  </si>
  <si>
    <t>EXPERT EN GESTION DE L'INNOVATION</t>
  </si>
  <si>
    <t>Directeur du pole Innovation IT, Pôle Innovation IT</t>
  </si>
  <si>
    <t>EXPLORATION POUR GAGNER 20 % A l IT</t>
  </si>
  <si>
    <t>Le Directeur du pôle Innovation IT de BCEF cherche à cadrer une nouvelle démarche d’exploration technologique. L’intention de son équipe est d’explorer le potentiel de création de valeur de l’IA, notamment de l’IA générative. Auprès du Directeur du pôle, notre intervention débute par le questionnement de l’ambition d’étude. En miroir à un climat des affaires dégradé, nous préférons proposer un Champ d’Innovation orienté design-to-save : « Innover à l’IT pour gagner 20 % » . Le large degré d’ouverture de l’exploration est assumé, en vue d’identifier des leviers IT en dehors du cadre connu permettant de générer des gains inattendus mais tangibles pour BNPP BCEF. Tout l’enjeu est d’inscrire l’équipe dans une dynamique d’apprentissages pour dépasser les préconçus.</t>
  </si>
  <si>
    <t>CADRAGE DU PILOTAGE EN DKCP - Questionnement des objectifs et du périmètre de la mission de conception innovante. - Précision du planning de conception innovante et confirmation du phasage. - Acculturation de l’équipe d’exploration aux principes de la théorie C-K.  ETAT DE L’ART ET DU NON-ART - Constitution d’un Dominant Design lié au sujet : fonctions, usages, techniques, règles, parties prenantes de l’IT. - Proposition d’ensemble de connaissances manquantes en K0 : durée de conception, difficulté en KM, adoption d’apps … - Plan d’acquisition de connaissances manquantes et proposition de mitigation par une série d’interviews (11 au total)  STRUCTURATION DE L’ARBORESCENCE CONCEPTUELLE ET DE L’ACTIVITÉ DE CONCEPTION INNOVANTE - Etude polysémique de l’aire de conception. - Définition et évaluation des C0 : sur 18 C0 au total 10 seront explorés. - Accompagnement à la conception des ateliers en K et C puis aux descentes niveaux par niveaux jusqu’à C2. - Mise en conformité de l’architecture en K et C, proposition de règles de gestion ad hoc et formalisme. Résultats : 20 C2 sont formalisés. Plusieurs axes présentent un fort potentiel i. Traitement de dettes techniques par le Nudgeii. Création d’une GuildIT efficiencypour former les acteurs iii. Monitoring du win-win contractuel par un changement de la culture achat via des nouveaux moyens iv. Gestion des pirates par honey tokenset honeyspots …</t>
  </si>
  <si>
    <t>Square Management est intervenu en tant qu'Expert en Gestion de l'Innovation auprès du Directeur du pôle Innovation IT de BNPP BCEF.
Le contexte était de cadrer une nouvelle démarche d'exploration technologique visant à identifier le potentiel de création de valeur de l'Intelligence Artificielle, notamment l'IA générative, dans une optique de "design-to-save" pour "Innover à l’IT pour gagner 20 %".
Le rôle a consisté à cadrer le pilotage en DKCP, réaliser un état de l'art, et structurer l'arborescence conceptuelle pour l'activité de conception innovante.
Cette démarche a permis de formaliser 20 concepts (C2) et d'identifier plusieurs axes à fort potentiel, notamment autour du traitement des dettes techniques et du monitoring contractuel.</t>
  </si>
  <si>
    <t>BUSINESS ANALYST / IA</t>
  </si>
  <si>
    <t>DATA OFFICE</t>
  </si>
  <si>
    <t>DEPLOIEMENT DE SOLUTION IA</t>
  </si>
  <si>
    <t>Dans le cadre de l’innovation continue et de l’amélioration des processus chez AXA GIE, ma mission a consisté à participer activement au déploiement de SecureGPT, une solution d’intelligence artificielle, par l'identification de uses cases métier.</t>
  </si>
  <si>
    <t>Identification des Use Cases avec les Experts Métiers :J'ai initié mon intervention par une série de discussions avec les experts métiers pour identifier clairement les problématiques opérationnelles et les opportunités d'amélioration. Cette phase de reconnaissance a été essentielle pour aligner les capacités de SecureGPT avec les besoins spécifiques d’AXA. Analyse et Résolution de Problématiques par IA :En m’appuyant sur une compréhension approfondie des outils d’IA existants au sein de notre arsenal technologique, j'ai pu déterminer comment SecureGPT pouvait apporter des solutions concrètes et innovantes aux problématiques relevées. Élaboration et Présentation des Fiches Use Cases :J'ai développé des fiches détaillées pour 11 use cases métiers, chacune exposant les enjeux, les solutions proposées par SecureGPT, ainsi que les bénéfices attendus. Ces fiches ont servi de support de communication clé lors de comités stratégiques, impliquant le top management et facilitant la prise de décision. Compétences Développées : Expertise renforcée en intelligence artificielle appliquée au secteur de l'assurance. Capacité à travailler en étroite collaboration avec les experts métiers pour traduire les besoins en solutions techniques. Compétences améliorées en communication stratégique, essentielles pour influencer et engager les décideurs. Impact et Valeur Ajoutée :Ce projet a permis de positionner AXA GIE à la pointe de l’innovation en IA, en mettant en lumière des cas d'utilisation concrets où SecureGPT peut apporter une valeur ajoutée significative. Mon rôle a été déterminant dans l'articulation entre la technologie d’IA et les besoins métiers, contribuant ainsi à une prise de décision stratégique et à une mise en œuvre réussie de solutions IA.</t>
  </si>
  <si>
    <t>Square Management est intervenu en tant que BUSINESS ANALYST / IA au sein du DATA OFFICE d'AXA GIE, dans un contexte d'innovation visant l'amélioration des processus.
La mission était centrée sur le déploiement de SecureGPT, une solution d’intelligence artificielle, par l'identification de cas d'usage métiers.
Le rôle a consisté à collaborer avec les experts métiers pour définir les problématiques et proposer des solutions concrètes grâce à l'IA.
Cela a impliqué l'élaboration de 11 fiches détaillées d'Use Cases présentées au top management.
Ce projet a positionné AXA GIE à la pointe de l’innovation en IA, avec une valeur ajoutée significative pour les besoins métiers.</t>
  </si>
  <si>
    <t>Square Management est intervenu en tant que Speaker IA &amp; Management de l'innovation auprès de RH GROUPE de BPCE pour animer une conférence d'acculturation sur les LLM et l’IA générative destinée à l’ensemble des responsables RH du groupe.
La mission a consisté à présenter l'apport de l'IA générative et des LLM dans le métier des Ressources Humaines. L'intervention a également abordé des illustrations de cas d'usage, ainsi que les limites, l'éthique et la réglementation (IA Act) liées à ces technologies.</t>
  </si>
  <si>
    <t xml:space="preserve">Chargée de projet digital </t>
  </si>
  <si>
    <t>LA POSTE</t>
  </si>
  <si>
    <t xml:space="preserve">Innovation et expérience client </t>
  </si>
  <si>
    <t>Digitalisation des parcours de vente</t>
  </si>
  <si>
    <t>Dans un contexte de digitalisation croissante des offres medias, le groupe La Poste a souhaité répondre aux nouvelles attentes et habitudes de consommation de ses clients et prospects B2B. Pour ce faire, une démarche s'est imposé : la digitalisation des parcours de vente. Objectifs : la création d'un nouveau canal de souscription, l'aquisition des clients via un nouveau canal de vente 
et la Fidélisation en multipliant les interactions client/offre.</t>
  </si>
  <si>
    <t>Soutien au pilotage du projet Assister le chef de projet dans la coordination et l'animation des différents ateliers Production de livrables utilisables en séance Rédaction de comptes-rendus Gestion de la documentation  et fichiers relatifs au projet Ateliers de co-création Préparation et animation d'ateliers de co-conception avec les différentes parties prenantes du projet : Dir Maketing, DSI, équipes opérationnelles, Dir Commerciale, ADV, Dir Courrier, Experte plateformisation Etude de la cible : réalisation de personas et propositions de parcours associés sur le site web Travail sur l'arborescence et validation du contenu des offres Déclinaison des maquettes sur les templates définis des pages du site Choix du modèle de plateformisation par offre (Marketplace/ Marque blanche) et modèle de rémunération Accompagnement sur le chantier IA : Intégration de l'IA dans les tunnels du projet permettant un ciblage automatisé et optimisé des offres en relation avec les problématiques client Réflexion sur une plateforme de veille intelligente permettant d’accompagner le client dans sa démarche de création de campagne Réflexion sur les notions d’accessibilité et de RSE</t>
  </si>
  <si>
    <t>Square Management est intervenu en tant que Chargée de projet digital au sein de la Direction Innovation et expérience client de LA POSTE pour la digitalisation des parcours de vente B2B. Le contexte était de répondre aux nouvelles habitudes de consommation en créant un nouveau canal de souscription et en optimisant l'acquisition et la fidélisation client.
Le rôle incluait l'accompagnement sur le chantier IA, visant à intégrer l'Intelligence Artificielle dans les tunnels de vente pour un ciblage automatisé et optimisé des offres. Une réflexion a également été menée sur une plateforme de veille intelligente pour accompagner les clients dans la création de leurs campagnes.</t>
  </si>
  <si>
    <t>INSEP</t>
  </si>
  <si>
    <t>Unité Développement et Innovation</t>
  </si>
  <si>
    <t>IA vision par ordinateur</t>
  </si>
  <si>
    <t>A l'Institut National du Sport, de l’Expertise et de la Performance (INSEP), la mission avait pour objectif de développer un système de détection automatique des coups (amorti, relance, smash…) pour le badminton à partir des vidéos de matchs.</t>
  </si>
  <si>
    <t>Création d'un algorithme de détection automatique des frappes au badminton: - Conception d'un réseau de neurones pour détecter les frappes, et localiser avec précision la position du volant et des joueurs sur le terrain (à l'aide également d'algorithmes en open source)  Coordination régulière avec les coachs en tant que référent métier : - Point de contact principal entre les chercheurs et les coachs pour ajuster le modèle - Développement de compétences en autonomie et organisation sur des sujets complexes, dans un environnement de recherche exigeant.  Techniques Interpolation linéaire pour les positions manquantes Utilisation de modèles pré-entrainés : TrackNetV2 et MoveNet MultiPose Implémentation d’un réseau de neurones récurrents GRU Evaluation du modèle : accuracy, rappel, précision, f1-score Logiciel utilisé : Python  Livrables Présentation des résultats devant un jury académique Présentation des résultats devant des chercheurs des différents laboratoires de l’INSEP ainsi qu’aux coachs de badminton</t>
  </si>
  <si>
    <t>Square Management est intervenu en tant que Data Scientist auprès de l'INSEP (Unité Développement et Innovation). La mission, intitulée "IA vision par ordinateur", visait à développer un système de détection automatique des coups de badminton (amorti, relance, smash) à partir de vidéos de matchs.
Le rôle a consisté à concevoir et implémenter un algorithme basé sur un réseau de neurones récurrents (GRU), intégrant des modèles pré-entraînés (TrackNetV2, MoveNet MultiPose) pour localiser le volant et les joueurs. Ce travail impliquait une coordination régulière avec les coachs pour ajuster le modèle.
L'objectif principal était de fournir aux coachs un outil analytique précis basé sur l'Intelligence Artificielle.</t>
  </si>
  <si>
    <t>Experte Datascientist IA et NLP/ LLM</t>
  </si>
  <si>
    <t>BCA EXPERTISE</t>
  </si>
  <si>
    <t>Institut Etudes Statistiques</t>
  </si>
  <si>
    <t>TRANSCRIPTION DE LIBELLÉS</t>
  </si>
  <si>
    <t>Dans le cadre des vérifications pour les assurances des sinistres automobile, Il s’est agit de traduire les libellés issu des factures des garagistes pour confronter aux informations contenus dans les rapports d’expertises produit par les experts automobiles aux assurances</t>
  </si>
  <si>
    <t>Il s'est agit de mettre en place, en binôme, un LLM (Large Language Model) pour effectuer le travail de traduction entre la 'langue' des garagistes et celles des experts. Nous avions à notre dispositions le référentiel expert contenant les codes cibles ainsi que leur description (quelques mots). Plusieurs milliers de paire de libellés/code étaient également fourni.  Pour arriver au résultat souhaiter de battre le modèle en place les étapes ont été : Mise en place d’un pre-processing pour traiter les marqueurs de position. Choix et fine tuning du modèle LLM avec les paires exemples. Mise en place de différentes métriques d’évaluation des performances. Implémentation d'un méthode de post-processing pour vérifier la cohérence à l'aide des marqueurs de position normalisées. Livraison du code documenté, ainsi qu’un rapport de mission.</t>
  </si>
  <si>
    <t>Square Management est intervenu en tant qu'Experte Datascientist IA et NLP/ LLM auprès de BCA EXPERTISE (Institut Etudes Statistiques).
La mission portait sur la transcription et la traduction de libellés de factures de garagistes afin de les comparer aux rapports d'expertises automobiles, dans le cadre de vérifications pour les assurances de sinistres.
Le rôle a consisté à mettre en place, en binôme, un LLM (Large Language Model) pour effectuer ce travail de traduction.
Les travaux incluaient le pré-processing des données, le choix et le fine-tuning du modèle LLM avec des paires d'exemples, l'évaluation des performances et l'implémentation d'une méthode de post-processing.
L'objectif était de développer une solution d'intelligence artificielle performante pour automatiser et sécuriser cette étape.</t>
  </si>
  <si>
    <t>Experte IA - NLP - LLMs</t>
  </si>
  <si>
    <t>Le projet s'inscrit dans le domaine de la réparation automobile et vise à améliorer l'efficacité et la précision du processus de matching des factures avec un référentiel de pièces automobiles. Actuellement, ce processus est souvent effectué manuellement, ce qui peut être chronophage et sujet à des erreurs. En utilisant des techniques avancées de Traitement du Langage Naturel (NLP) telles que les Transformers, les LLMs (Large Language Models), et les embeddings, le projet vise à automatiser ce processus et à réduire les erreurs de matching.</t>
  </si>
  <si>
    <t>Le projet vise à développer des méthodes et des algorithmes avancés en NLP (notamment des LLMs) pour le matching automatique des factures émises par les réparateurs automobiles avec un référentiel commun de pièces automobiles. Les objectifs spécifiques du projet comprennent : Développer des modèles de LLMs basés sur les Transformers pour extraire des informations pertinentes des factures et des référentiels de pièces automobiles. Ces modèles permettront de capturer les relations sémantiques et contextuelles entre les textes. Évaluer et améliorer les performances du matching : Une évaluation rigoureuse des résultats du matching est réalisée. Des itérations itératives sont effectuées pour affiner les modèles et les méthodes, en utilisant les retours d'experts et des processus de validation manuels si nécessaire. Ce projet a permis d'améliorer l'efficacité des processus de facturation et de gestion des pièces automobiles dans le domaine de la réparation, en réduisant les erreurs et en accélérant le traitement des factures.</t>
  </si>
  <si>
    <t>Square Management est intervenu en tant qu'Experte IA - NLP - LLMs auprès de BCA EXPERTISE pour un projet visant à automatiser le matching des factures de réparation automobile avec un référentiel de pièces. Le contexte est l'amélioration de l'efficacité et de la précision d'un processus manuel, chronophage et sujet aux erreurs. Le rôle a consisté à développer des méthodes et des algorithmes avancés en Traitement du Langage Naturel (NLP), notamment des modèles LLMs basés sur les Transformers, pour extraire des informations pertinentes et capturer les relations sémantiques. Cette expertise a permis de réduire les erreurs et d'accélérer le traitement des factures.</t>
  </si>
  <si>
    <t>Lead R&amp;D</t>
  </si>
  <si>
    <t>Square Research Center</t>
  </si>
  <si>
    <t>Projet R&amp;D - l'IA au service de la RSE</t>
  </si>
  <si>
    <t>Au cœur d'une prise de conscience grandissante, les investisseurs, consommateurs, actionnaires et gouvernements se mobilisent pour la RSE. En revanche, face à la multitude d'informations quotidiennes provenant de diverses sources (actualités réseaux sociaux, rapports d'entreprises, communiqués, extraire les données clés devient un défi majeur pour les experts et décideurs en RSE.</t>
  </si>
  <si>
    <t>Le programme de recherche doit permettre de développer un outil interactif d’IA qui offre: Un chatbot pour poser des questions sur les documents extra-finannciers des entreprrses (RAG) Un suivi en temps réel des tendances RSE par entreprise, sujet, secteur ou région. Un scoring de réputation RSE, en temps réel Des alertes sur les actualités majeures concernant les sujets, les lois, les entreprises et les controverses.  Notre solution repose sur des avancées technologiques majeures en IA et NLP, en utilisant des modèles de langage avancés comme GPT pour extraire automatiquement des informations pertinentes en temps réel à partir de divers documents, y compris les actualités. Grâce à notre technologie, notre outil identifie automatiquement diverses informations comme: les entreprises, les personnalités publiques, les lois, les déclarations prospectives et les controverses mentionnées dans chaque document, en fournissant également une analyse de sentiment et une synthèse. Toutes ces données sont ensuite agrégées dans un dashboard interactif, offrant des alertes personnalisées qui permettent à chaque utilisateur de suivre les informations correspondant à ses besoins spécifiques.  Notre solution est destinée principalement aux investisseurs ou décideurs des grandes entreprises ayant des enjeux RSE.</t>
  </si>
  <si>
    <t>Square Management est intervenu en tant que Lead R&amp;D au sein du Square Research Center sur le "Projet R&amp;D - l'IA au service de la RSE".
Le contexte de la mission est de résoudre le défi de l'extraction des données clés pour les experts RSE face à une multitude d'informations.
Le rôle a consisté à développer un outil interactif d'Intelligence Artificielle et de NLP utilisant des modèles de langage avancés (comme GPT).
Cet outil permet d'extraire automatiquement des informations pertinentes en temps réel, offrant un chatbot (RAG), un suivi des tendances, un scoring de réputation RSE, et des alertes personnalisées pour les investisseurs et décideurs.</t>
  </si>
  <si>
    <t>Projet R&amp;D - Explicabilité des modèles de Deep Leraning</t>
  </si>
  <si>
    <t>Les régulateurs exigent de plus en plus que les entreprises soient en mesure d'expliquer comment leurs systèmes d'IA prennent des décisions. Le fameux « Droit aux explications » en application de la GDPR L’explicabilité des modèles d’IA des secteurs à haut risque serait un prérequis (AI Act) En plus, une meilleure interprétation des modèles permet de faire un meilleur diagnostic des failles, de cibler des pistes d’amélioration, et une meilleure détection des biais encodés dans les représentations internes des modèles.</t>
  </si>
  <si>
    <t>Le projet R&amp;D vise à résoudre l'un des problèmes majeurs des modèles d’intelligence artificielle (IA) "black box", c'est-à-dire leur manque de transparence et d'explicabilité. En effet, les modèles d'IA peuvent souvent fournir des résultats impressionnants mais sans expliquer comment ils les ont obtenus, ce qui peut poser des problèmes en termes de confiance et de responsabilité. Nous travaillons sur la création de méthodes et d'outils pour expliquer les décisions de ces  modèles.  Nous intervenons principalement chez les clients qui souhaitent profiter des avancées majeures apportées par les modèles de machine learning complexes en termes de performances prédictives tout en étant capables d’assurer la transparence et le contrôle sur ces modèles et de se conformer à la régulation. A titre d’exemple, au sein de la direction risques de la société générale, nous avons accompagné les équipes de risque de crédit et les équipes LCB/FT pour l’explicabilité de leurs modèles prédictifs.  Nous collaborons avec le laboratoire LAMSADE de l'université de Paris Dauphine pour mener des recherches de pointe sur l'explicabilité d’IA. Notre expertise avancée nous permet de proposer des solutions personnalisées à nos clients, en fonction de leurs besoins spécifiques.</t>
  </si>
  <si>
    <t>Square Management est intervenu en tant que Lead R&amp;D au sein du Square Research Center sur le "Projet R&amp;D - Explicabilité des modèles de Deep Learning".
Le contexte est celui des exigences réglementaires croissantes (GDPR, AI Act) pour la transparence des systèmes d'Intelligence Artificielle dits "black box".
Le rôle de Square Management consiste à développer des méthodes et outils pour expliquer les décisions des modèles d'IA, assurant ainsi la confiance, le contrôle et la conformité.
Cette expertise avancée permet d'accompagner des clients, notamment dans les directions de risque (ex: Société Générale pour risque de crédit et LCB/FT), à interpréter leurs modèles prédictifs.
Des recherches de pointe sont menées en collaboration avec le laboratoire LAMSADE de l'université de Paris Dauphine.</t>
  </si>
  <si>
    <t xml:space="preserve">PMO Organisation &amp; Suivi d'activités Data Science </t>
  </si>
  <si>
    <t>Pôle Data &amp; IA - Data Science</t>
  </si>
  <si>
    <t xml:space="preserve">Organisation d'un Centre d'Expertise Data Science </t>
  </si>
  <si>
    <t>La BPCE a pour objectif de mettre la DATA au service des cas d'usages pour le business en lien avec la stratégie retail et toutes les fonctions de la banque.
Les cas d'usages concernés sont les suivants : Business / Revenus, Satisfaction Client &amp; Collaboration, Efficacité Opérationnelle, Gestion des risques, Fraude et Lutte anti blanchimment. Au sein de la direction Digital &amp; Payments et plus précisement dans la pôle Data &amp; IA, Tarik a été sollicité pour formaliser l’organisation d’un Centre d’expertise Data Scientists &amp; IA, animer la communauté des DS et piloter les principaux streams des cas d’usages.</t>
  </si>
  <si>
    <t>Principales réalisations : Animation des instances de gouvernance du programme composées de comités de direction et formalisation des décisions Mise en place de nouvelles formes de gouvernance en mode agile et de nouveaux modes de fonctionnement. Contribution au fonctionnement en squads de bout en bout avec des multi-entités et multi-compétences Data. Pilotage de l'avancement des cas d'usages avec les métiers et les établissements. Garant du rapprochement des équipes Data Scientists du groupe, du pilotage de la nouvelle organisation du Centre d’Expertise DS &amp; IA, du suivi du Capacity Planner et de la charge des ressources. Construction de l’offre de service DataScience au service des métiers, de la cellule IT et des établissements. Poursuite du travail de formalisation de méthodologies projet, et leur diffusion plus largement.</t>
  </si>
  <si>
    <t>Square Management est intervenu en tant que PMO Organisation &amp; Suivi d'activités Data Science auprès de BPCE SA (Pôle Data &amp; IA - Data Science). Le contexte de la mission était de formaliser l’organisation d’un Centre d’Expertise Data Scientists &amp; IA, pour mettre la DATA au service de cas d'usages variés (Business, Risques, Fraude, etc.). Le rôle a consisté à piloter cette nouvelle organisation et la communauté des Data Scientists &amp; IA du groupe. Les réalisations incluaient l'animation de la gouvernance, la mise en place de modes de fonctionnement agiles, et le pilotage de l'avancement des cas d'usages Data Science et IA.</t>
  </si>
  <si>
    <t>PPO</t>
  </si>
  <si>
    <t>ALLIANZ</t>
  </si>
  <si>
    <t xml:space="preserve">Direction Indemnisation service client /Transformation opérationnelle </t>
  </si>
  <si>
    <t>Projet ITMP FNOL MOTOR</t>
  </si>
  <si>
    <t>Dans le cadre d'un projet cadré à l'international par Allianz, Naïma est intervenue pour l'implémentation du projet en France pour la partie indemnisation auto. Digitalisation d'un parcours de déclaration de sinistres auto à destination des agents Allianz et des clients venant alimenter le logiciel de gestion utilisé par la filière automobile d'Allianz : mise en place d'un parcours selfcare Gestion du change : rédaction de process  et animation de formations des collaborateurs au nouvel outil.</t>
  </si>
  <si>
    <t xml:space="preserve">Au sein d'un ecosystème et en collaboration avec le PO, a eu la charge de réaliser l'expression de besoins pour permettre une implémentation du projet mondial dans le SI français. En cible :  la mise en oeuvre d'une plateforme digitale ("First notification of loss") de déclaration de sinistres auto par les agents, gestionnaires et clients (front end). Reconnaissance automatique des documents (photo, constat, factures etc.) afin de : Déterminer automatiquement les responsabilités en cause par le biais d'une IA Missionner automatiquement des garages et des experts Evaluer automatiquement le montant des dommages et déclencher une indemnisation, également par le biais d'une IA Alimentation des champs requis pour la gestion d'un dossier grâce aux informations saisies sur le parcours digital (gain de temps pour le métier)  Rédaction des EDB, animation des ateliers avec l'équipe IT, validation des US, réalisation des cahiers de tests fonctionnels, TNR Pilotage de la partie "calcul automatque de responsbailité" : implémentation d'un outil créé par Allianz Munich. Gestion de l'intégration de cette fonctionnalité dans le parcours de déclaration en France. Accompagnement au changement de la filière auto (gestionnaires de sinistres) au fur et à mesure des évolutions du projet (business review, release notes, formations, suivi de production) en les formant et en rédigeant les process. </t>
  </si>
  <si>
    <t>Financial Services</t>
  </si>
  <si>
    <t>Square Management est intervenu en tant que PPO chez ALLIANZ, au sein de la Direction Indemnisation, pour l'implémentation française du projet international ITMP FNOL MOTOR. Le contexte était la digitalisation du parcours de déclaration de sinistres auto, impliquant la mise en place d'une plateforme "First Notification of Loss". Le rôle de Square Management était de piloter l'intégration de fonctionnalités clés utilisant l'Intelligence Artificielle. L'IA était spécifiquement utilisée pour la reconnaissance automatique de documents, la détermination automatique des responsabilités, et l'évaluation automatique du montant des dommages et le déclenchement d'une indemnisation.</t>
  </si>
  <si>
    <t>MNCAP</t>
  </si>
  <si>
    <t>PDG, COMEX &amp; Assemblée Générale du groupe MNCAP</t>
  </si>
  <si>
    <t>Conférence sur l'IA auprès de la direction du MNCAP</t>
  </si>
  <si>
    <t>CONFÉRENCE &amp; ACCULTURATION SUR LES LLM ET L’IA GÉNÉRATIVE POUR L'ASSURANCE EMPRUNTEUR Présentation sur l'apport de l'IA générative et LLM en assurance emprunteur lors de l’AG du groupe MNCAP (PDG, COMEX, Partenaires, Directeurs…). Illustration de cas d'usage en assurance, conseil sur l'orientation stratégique pour l’intégration et exploration de cette technologie. synthèse des insights et perspectives d'avenir.</t>
  </si>
  <si>
    <t>CONFÉRENCE &amp; ACCULTURATION SUR LES LLM ET L’IA GÉNÉRATIVE POUR L'ASSURANCE EMPRUNTEUR</t>
  </si>
  <si>
    <t>Square Management est intervenu en tant que Speaker IA &amp; Management de l'innovation auprès de la direction (PDG, COMEX, AG) du groupe MNCAP. La mission était axée sur une conférence et une acculturation aux Large Language Models (LLM) et à l'Intelligence Artificielle Générative (IA Générative) spécifiquement pour l'Assurance Emprunteur. Le rôle a consisté à présenter l'apport de ces technologies, illustrer des cas d'usage en assurance, et conseiller sur l'orientation stratégique pour leur intégration et exploration au sein du groupe.</t>
  </si>
  <si>
    <t>EXPERT EN GESTION DE L’INNOVATION</t>
  </si>
  <si>
    <t>DITA / BCEF</t>
  </si>
  <si>
    <t>GENERATIVE AI -  EXPLORATION &amp; EXPERIMENTATION</t>
  </si>
  <si>
    <t>Face à l'émergence rapide des technologies d'IA générative, BNP Paribas a lancé une exploration stratégique pour son intégration optimale au sein de ses métiers. Cette démarche, structurée en trois sprints, vise à collaborer étroitement avec des parties prenantes clés pour cerner les cas d'usage pertinents. L'approche adoptée favorise l'"exploration by doing", permettant de concilier théorie et pratique. L'objectif ultime est d'évaluer la valeur et l'adoption de Chat GPT à travers des tests concrets et des retours directs des métiers concernés.</t>
  </si>
  <si>
    <t>SPRINT 1. CADRER LES BESOINS Entretiens avec 9 représentants des métiers : Voices, RSE, Enterprise, Retailpro, Legal, etc. Identification des besoins spécifiques de chaque métier en matière d'IA générative. Identification des défis et des opportunités offerts par Chat GPT pour chaque cas d’usage métier. Synthèse des attentes et des besoins pour une meilleure intégration de Chat GPT. Sélection et priorisation sous le tryptique désirabilité, viabilité, faisabilité avec la technique et les métiers.  SPRINT 2. PREPARER L’EXPERIMENTATION Approche d'expérimentation, axée sur la mesure de la valeur &amp; adoption, plutôt que sur la performance technique Élaboration des contraintes techniques, organisationnelles et fonctionnelles pour l'expérimentation. Formalisation des cas d'usage : Rédaction des prompts, définition des critères de réussite (KPI) et des risques (KRI), formalisation des objectifs de chaque métier (ex : génération de contenus, vulgarisation de contenus...), données nécessaires...  SPRINT 3. METTRE EN ŒUVRE L’EXPERIMENTATION Sélection de décideurs et de "champions" parmi les représentants des métiers pour l'expérimentation. Mise en place des protocoles de test et d'A/B testingpour chaque métier. Itérations sur les retours et les résultats, jusqu'à obtenir une vision claire de la valeur et de l'adoption de l'IA Gen pour les métiers. Interview qualitative Synthèse des résultats obtenus et cas d’usage à retenir suite à l’expérimentation et feedbacks des métiers</t>
  </si>
  <si>
    <t>Square Management est intervenu en tant qu'Expert en Gestion de l'Innovation auprès de BNPP (DITA / BCEF) pour une exploration stratégique de l'IA générative. La mission, structurée en trois sprints, visait à évaluer l'intégration optimale de cette technologie (notamment Chat GPT) au sein des différents métiers. Le rôle a consisté à cadrer les besoins, préparer l'expérimentation (définition des cas d'usage, KPIs/KRIs), et mettre en œuvre les tests pour mesurer la valeur et l'adoption de l'IA Générative par les métiers.</t>
  </si>
  <si>
    <t xml:space="preserve">DATA - Branche Grand Public Numérique </t>
  </si>
  <si>
    <t>Pilotage multi-projets IA/Data</t>
  </si>
  <si>
    <t>La nouvelle branche BGPN rassemble désormais le Réseau La Poste, l’ensemble des responsabilités marketing et commerciales vers les clientèles particuliers et professionnels et l’expérience client à travers les canaux physiques et digitaux, pour mieux servir les clients de La Poste. Dans le cadre du déploiement de sa roadmap DATA/IA , la Chief Data Officer cherche à être accompagnée par un consultant à fin de porter la gestion des projets DATA/IA de bout en bout.</t>
  </si>
  <si>
    <t>Mettre en œuvre les projets de valorisation des données Assurera la synergie entre équipes métiers et équipes de développement. Définir la solution, sa déclinaison en fonctionnalités et la feuille de route associée Créer et alimentater le« Product Backlog » Créer et animer l’équipe projet composée de ressources pluridisciplinaires métiers et IT Elaborer et suivre le planning des différentes itérations en collaboration avec les équipes de développement et en adéquation avec les enjeux « Time to Market » du métier Mettre en place des boucles courtes de feedback clients permettant de tester et de valider les fonctionnalités livrées à chaque itération Gérer le budget alloué et piloter et partager son suivi et sa consommation Mettre en place et animer les instances de gouvernance de ses projets (cérémonie agile, COPIL mensuel, intervention en CODIR et COMEX) Définir la stratégie de déploiement de la solution, l’ouverture du service ainsi que la conduite du changement avec les utilisateurs finaux de la solution</t>
  </si>
  <si>
    <t>Square Management est intervenu en tant que Product Owner auprès de LA POSTE, au sein de la branche Grand Public Numérique (BGPN), pour le pilotage multi-projets IA/Data. Le contexte était le déploiement de la roadmap DATA/IA de la Chief Data Officer, visant à gérer les projets DATA/IA de bout en bout. Le rôle consistait à mettre en œuvre les projets de valorisation des données, assurer la synergie entre les équipes métiers et IT, définir les solutions, et piloter les itérations agiles, le budget, et la gouvernance.</t>
  </si>
  <si>
    <t>BPCE Digital &amp; payments</t>
  </si>
  <si>
    <t>L'exploitation de l'ensemble des informations des transactions de cartes bleues est une mine de données précieuse, mais également complexe à maîtriser. Ces informations se présentent sous deux formes distinctes : les données numériques et les données textuelles. Si l'utilisation de modèles d'apprentissage automatique sur les données numériques est relativement directe, une préparation plus approfondie est requise pour exploiter pleinement les données textuelles.</t>
  </si>
  <si>
    <t xml:space="preserve">Ma mission était de proposer au client une solution sur mesure de traitement automatique du langage naturel (Natural Language Processing) afin de transformer les données textuelles en vecteurs (embeddings), permettant ainsi de modéliser l'information sémantique de manière efficace.  La mission a été réalisée en 6 étapes : Exploration et compréhension approfondie des besoins du client grâce à des séances de brainstorming intensives. Réalisation d'une étude exhaustive des travaux de l’état de l’art récents en lien avec la problématique du client. Identification et proposition des approches innovantes basées sur le Transfer Learning et le NLP pour la conservation de l’information sémantique des variables textuelles par embeddings. Conception d'un modèle de langue sur mesure (LLM) spécialement adapté aux transactions des cartes bancaires, garantissant une performance optimale. Implémentation des approches proposées (Les outils: Python, Pytorch, LLMs, Gensim, Transformers, BERT, Word2vec, Fastext, LSTMs, PySpark). Documentation et diffusion des solutions élaborées, permettant ainsi à tous les acteurs impliqués de les comprendre et de les adopter facilement.  Cas d’usages : Détection de moments de vie (naissance, déménagement, retraite, etc.) Détection de fraudes et des anomalies </t>
  </si>
  <si>
    <t>Square Management est intervenu en tant qu'Experte IA auprès de BPCE Digital &amp; payments. La mission portait sur l'exploitation des données textuelles complexes issues des transactions de cartes bancaires. Le rôle a consisté à concevoir et proposer une solution sur mesure de Traitement Automatique du Langage Naturel (NLP) pour transformer ces données en vecteurs (embeddings). Cela a inclus la conception d'un Modèle de Langue Large (LLM) adapté aux transactions, visant des cas d'usage comme la détection de moments de vie et la détection de fraudes.</t>
  </si>
  <si>
    <t>Responsable Solutions Data</t>
  </si>
  <si>
    <t>BDDF/DIR/DAT</t>
  </si>
  <si>
    <t>Yoga Tiers Communs</t>
  </si>
  <si>
    <t>Les données client de la Société Générale ont été fortement impactées par l’intégration des données du Crédit du Nord en mars et mai 2023, suite à la fusion des deux banques. L'un des principaux enjeux de la Société Générale est de traiter les doublons de clients résultant de cette fusion. Le déboulonnage doit permettre d'obtenir une vision unifiée des clients, tant pour la Société Générale que pour les clients eux-mêmes, et garantir la conformité aux normes de qualité des données.</t>
  </si>
  <si>
    <t>En tant que responsable de la mise en place de solutions data pour identifier le périmètre des clients à traiter/fusionner avant l'intégration des données du Crédit du Nord en mars 2023, j'ai réalisé les tâches suivantes :  Solutions : Estimation du périmètre de dossiers clients à traiter à partir d'une analyse de données tiers (Oracle EDQ). Implémentation d’un modèle de classification de clients (vrais versus faux doublons), combinant des données structurées clients et des informations de pièces d’identité lues par une IA Société Générale (Oracle EDQ, Insta-KYC). Réalisation d'un échantillonnage/sondage par quotas équilibrés pour évaluer les performances (précision/recall) du modèle de classification de clients (Python, package Pandas). Optimisation du traitement des triplons (et n-plons) à partir de méthodes de théorie des graphes (graphes connectés, cliques du package NetworkX de Python).  Projet en continu : Animation d’ateliers de conception et de planification de solutions data. Livraison de requêtes data portant sur les implications et risques du projet. Rédaction de supports sur l’avancement des solutions data et les résultats d’analyse. Suivi des travaux de détection des clients du périmètre par l’équipe opérationnelle.</t>
  </si>
  <si>
    <t>Square Management est intervenu en tant que Responsable Solutions Data auprès de SOCIETE GENERALE (BDDF/DIR/DAT) suite à la fusion avec le Crédit du Nord, dans le contexte de la gestion des doublons de clients et de l'unification de la vision client.
La mission s'est axée sur l'implémentation de solutions data pour identifier le périmètre des clients à traiter/fusionner.
Le rôle a inclus l'implémentation d'un modèle de classification de clients (vrais versus faux doublons) combinant données clients structurées et informations de pièces d’identité lues par une IA Société Générale.
Square Management a également réalisé l'évaluation des performances du modèle de classification (précision/rappel) et l'optimisation du traitement des triplons par des méthodes de théorie des graphes.
Ceci a permis de garantir la qualité des données et la conformité des clients.</t>
  </si>
  <si>
    <t>Compliance (RESG/CFT et CPLE/DTO)</t>
  </si>
  <si>
    <t>NEXTGEN / HOLMES - Déploiement d'un nouvel outil de LAB LAT basé sur l'IA</t>
  </si>
  <si>
    <t>Mission d'assistance à la Direction de Programme pour le déploiement d'un outil de big data/IA (Palantir) pour la Compliance sur les régions EURO et AFMO (38 entités)</t>
  </si>
  <si>
    <t>Initialisation et pilotage des contrats internes avec les entités (MSA, CSA, CSLA et dossiers Régulateurs) Mise en place d'une démarche Agile (Scrum) afin de cadencer les travaux - Revue de la gouvernance, des outils de pilotage, des rôles et responsabilités Définition des processus et procédures opérationnelles de Run (support utilisateur, gestion des incidents, gestion des demandes de changement) de la plate-forme Proposition des optimisations de l'organisation de l'entité projet en s'appuyant sur les best practices Agile Suivi et gestion des travaux juridiques et réglementaires pour déployer les analyses de risque et les contrats internes Assistance auprès de la Direction de programme sur les fonctions de Program Management Office</t>
  </si>
  <si>
    <t>Square Management est intervenu en tant que Consultant auprès de SOCIETE GENERALE pour le déploiement de "NEXTGEN / HOLMES", un nouvel outil de lutte anti-blanchiment (LAB LAT) basé sur l'Intelligence Artificielle (via Palantir).
Ce projet, visant la Compliance sur les régions EURO et AFMO (38 entités), a nécessité l'assistance à la Direction de Programme.
Le rôle de Square Management incluait l'initialisation et le pilotage des contrats internes, la mise en place d'une démarche Agile (Scrum) pour le pilotage des travaux, et la définition des processus opérationnels de Run (support, incidents, changements) pour la plateforme Big Data/IA.
La mission a également couvert le suivi des travaux juridiques et réglementaires pour le déploiement des analyses de risque et les contrats internes.
Square Management a donc joué un rôle clé de Program Management Office pour assurer la bonne gouvernance et le déploiement de cet outil IA.</t>
  </si>
  <si>
    <t>Manager de l'innovation</t>
  </si>
  <si>
    <t>Arquus</t>
  </si>
  <si>
    <t>Département Innovation</t>
  </si>
  <si>
    <t>Coordinateur de projets d’innovation et déploiement de l’innovation ouverte</t>
  </si>
  <si>
    <t>A la fin de l'année 2021, J'ai intégré le département Innovation au sein d'Arquusoù l'enjeu était de mettre en œuvre des projets d'innovation collaboratifs avec d'autres partenaires externes tels que des starts-upet des laboratoires. Pour lutter face à une forte concurrence sur le marché français, l’entreprise avait décidé de développer ces opportunités de marché B to B. Dans cette démarche ces projets constituaient les axes de la stratégie globale d'innovation d'Arquus.</t>
  </si>
  <si>
    <t>• Déploiement de l’innovation ouverte : ➢ Développement de l’innovation collaboratif interne et externe (Collecte des idées, sourcing) ➢ Coordination et organisation des projets et challenges avec des starts-upet PME ØManagement des organisations dans une de la création de valeur dans une approche Agile dans un contexte de délais tendues • MOA sur la phase d’avant-projet du projet Mobilité IA : ➢ Rédaction de la Définition et Spécification technique de besoin (AF, CDC et STB) pour le développement d’un système de détection de chemin par une IA ➢ Constitution d’un dossier de réponse à un appel d’offre</t>
  </si>
  <si>
    <t>Square Management est intervenu en tant que Manager de l'innovation au sein du Département Innovation d'Arquus, qui cherchait à développer des projets d'innovation collaboratifs pour faire face à la concurrence.
Le rôle a consisté, entre autres, à être MOA sur la phase d’avant-projet du projet "Mobilité IA".
Cette mission impliquait spécifiquement la rédaction des spécifications techniques de besoin (STB) pour le développement d’un système de détection de chemin par une Intelligence Artificielle.
Square Management a également participé à la constitution d’un dossier de réponse à un appel d’offre lié à ce projet IA.
La mission s'inscrivait dans la stratégie globale d'innovation d'Arquus.</t>
  </si>
  <si>
    <t>Product Owner Data &amp; IA</t>
  </si>
  <si>
    <t>Branche Grand Public et Numérique</t>
  </si>
  <si>
    <t>Data &amp; IA</t>
  </si>
  <si>
    <t>Pour accompagner la BGPN à mettre en œuvre son plan stratégique et opérer sa transformation, un pôle DATA/IA s’est créée sous la direction du Chief Data Officer de la BGPN. Cette nouvelle direction a pour missions de porter les projets DATA/IA pour l’ensemble des métiers de la branche, assurer un rôle de conseil et de support et mettre en place une gouvernance autour des données.</t>
  </si>
  <si>
    <t>Principales Activités : Définition, mise en œuvre et industrialisation des cas d'usage Analytics (Feuille de route des UCs avec un accent sur l'excellence opérationnelle) Etude de faisabilité des UCs sur des environnements LAB Suivi du projet en méthodologie Agile Rédaction des dossiers d’instruction Gestion du budget des UCs(Data Manager, Data Analysts, IT) Conception et mise en œuvre de la gouvernance des données Construction du Target Operating Model du pôle Data &amp; IA Reportingrégulier aux sponsors lors des comités Conduite des efforts de conduite du changement  Environnement Technique: DataIku Tableau Jira</t>
  </si>
  <si>
    <t>Square Management est intervenu en tant que Product Owner Data &amp; IA pour LA POSTE (Branche Grand Public et Numérique - BGPN), au sein du nouveau pôle DATA/IA créé pour opérer sa transformation stratégique. La mission visait à porter les projets DATA/IA pour l'ensemble des métiers de la branche.
Le rôle a consisté à définir, mettre en œuvre et industrialiser des cas d'usage Analytics (UCs), réaliser des études de faisabilité sur des environnements LAB, et assurer la gestion de projet en méthodologie Agile. Cela incluait également la conception et la mise en œuvre de la gouvernance des données du pôle Data &amp; IA.</t>
  </si>
  <si>
    <t>Capgemini Engineering</t>
  </si>
  <si>
    <t>Projet de Recherche et Developpement</t>
  </si>
  <si>
    <t>Le projet vise à développer des modèles et des solutions adaptés à de nombreux secteurs industriels, dont l’utilisation permettra l’optimisation de la gestion du flux d’informations au sein d’une chaine d’approvisionnement digitalisée (Digital Supply Chain – DSC) RÉSULTATS OBTENUS • Estimation affinée des besoins clients grâce à  l’utilisation de modèles de prévision hybrides qui  prennent en compte l’historique de la demande  ainsi que les signaux externes pouvant  l’influencer. • Un cadre de développement pour aider les industriels dans leur processus de digitalisation en optimisant la robustesse, la fiabilité et la sécurité des solutions déployées. • Développement de modèles permettant d’optimiser l’efficacité et l’efficience des solutions utilisant les données IIoT, et d’accélérer les boucles « Capter, traiter, décider et agir »</t>
  </si>
  <si>
    <t>Pilotage d’un projet qui s’intéresse à l’optimisation et la fiabilisation du flux d’information dans la supply chain en utilisant l’IoT, l’IA et la Blockchain. Développement du plan de travail du projet et des objectifs à atteindre Rédaction des rapports d’avancement du projet et des articles scientifiques correspondants Animation des réunions de projet, encadrement et motivation des participants Gestion des risques liés au projet et proposition des plans d’actions correspondants Support aux équipes techniques pour répondre aux appels d’offre clients Etude des besoins clients relatifs à l’optimisation de la supply chain Participation à la rédaction des réponses aux appels d’offre</t>
  </si>
  <si>
    <t>Square Management est intervenu en tant que Chef de projet chez Capgemini Engineering, au sein de la Recherche et Innovation. La mission portait sur un projet de R&amp;D visant à optimiser et fiabiliser le flux d'information d'une chaîne d'approvisionnement digitalisée (DSC), en utilisant l'IoT, l'IA et la Blockchain. Le rôle consistait à piloter le projet, notamment le développement de modèles d'IA pour affiner l'estimation des besoins clients (modèles de prévision hybrides) et optimiser les solutions utilisant les données IIoT. Ce pilotage incluait le développement du plan de travail, la gestion des risques et le support aux équipes techniques.</t>
  </si>
  <si>
    <t>Chicago Pneumatic</t>
  </si>
  <si>
    <t>Supply Chain</t>
  </si>
  <si>
    <t>Mise en place d'une approche visant à améliorer  la prévision de la demande</t>
  </si>
  <si>
    <t>Notre objectif est d'améliorer le processus de prévision de la demande (c'est-à-dire la quantité à livrer d'un produit fini ou semi-fini pour les périodes à venir) d'une entreprise industrielle par le développement d'algorithmes d'intelligence artificielle utilisant des données exogènes (données différentes de la demande historique).</t>
  </si>
  <si>
    <t>Modélisation du problème et définition des données endogènes et exogènes Analyse et prétraitement des données historiques Développement et test des algorithmes de prévision de l'IA et analyse des résultats.</t>
  </si>
  <si>
    <t>Square Management est intervenu en tant que Chef de projet au sein de la Supply Chain de Chicago Pneumatic, dans le but d'améliorer le processus de prévision de la demande. La mission était axée sur le développement d'algorithmes d'Intelligence Artificielle utilisant des données exogènes pour prédire la quantité à livrer. Le rôle a consisté à modéliser le problème, analyser et prétraiter les données, et développer/tester les algorithmes de prévision d'IA.</t>
  </si>
  <si>
    <t>SEGL (Secrétariat général)</t>
  </si>
  <si>
    <t>LEGAL ASSISTANT : I.A. POUR LE LEGAL TSP</t>
  </si>
  <si>
    <t>Le programme pluriannuel LEGAL TSP (Transformation Strategic Program) visait la modernisation et l'efficacité des équipes juridiques. Dans ce cadre, plusieurs solutions informatiques ont été construites et mises en oeuvre. Le Legal Assistant était une application utilisant l'intelligence artificielle pour aider le juriste à revoir un contrat selon les guidelines internes de négociation pour des contrats de corporate finance. Les équipes étaient situées partout dans le monde et la langue de travail était l'anglais, y compris dans l'animation du comité de pilotage.</t>
  </si>
  <si>
    <t>Cadrage du projet de use case de revue d'ISDA Master Agreements Elaboration du business case Stratégie de développement et définition du MVP Présentation au comité de pilotage  Pilotage des 3 projets  (ISDA, NDA, Data extraction) Accompagnement et coaching des 3 product owners juristes Préparation et animation des comités de pilotage Participation aux réflexions de conception et à la refonte UI Organisation et animation de réunions clefs Rapport d'avancement mensuel Coordination des acteurs dans les projets d'interface Onboarding et accompagnement des équipes utilisatrices  Participation au programme Legal TSP Communications diverses en anglais et français Analyses diverses (gains, KPI) et supports de présentation des comités Intervention dans un projet de gestion des legal opinions sur le netting</t>
  </si>
  <si>
    <t>Square Management est intervenu en tant que Chef de projet au sein de SEGL (Secrétariat général) de SOCIETE GENERALE, dans le cadre du programme LEGAL TSP visant à moderniser les équipes juridiques.
La mission était centrée sur le développement de "Legal Assistant", une application utilisant l'Intelligence Artificielle pour assister les juristes dans la revue de contrats (corporate finance) selon les guidelines internes.
Le rôle a consisté à cadrer et piloter le projet de use case (ISDA, NDA, Data extraction), élaborer le business case, définir le MVP, et accompagner les Product Owners juristes.
L'objectif était d'accroître l'efficacité et la modernisation des équipes juridiques dans un contexte international.
Les tâches comprenaient l'animation des comités de pilotage et la coordination des différents acteurs.</t>
  </si>
  <si>
    <t>Chargé de développement</t>
  </si>
  <si>
    <t>Bloomfield robotic</t>
  </si>
  <si>
    <t>Direction commerciale</t>
  </si>
  <si>
    <t>Chargé de développement et de clientèle</t>
  </si>
  <si>
    <t>Bloomfield Robotics est une start-up américaine spécialisée dans l’intelligence artificielle appliquée à l’agriculture et à la viticulture en accompagnant de manière innovante les exploitations dans leur transition vers une viticulture plus intelligente et plus durable. Dans un contexte d’expansion internationale, l’entreprise souhaitait s’implanter en France. Les enjeux de la mission étaient de piloter plusieurs implantations, d’assurer la croissance de l’équipe et de développer la présence commerciale et opérationnelle de Bloomfield Robotics en France.</t>
  </si>
  <si>
    <t>Développement de la structure de l’entreprise à Bordeaux Établissement de partenariats stratégiques avec des exploitations viticoles, instituts de recherche et acteurs clés locaux. Définition et mise en œuvre de la stratégie commerciale locale, incluant la tarification, la structuration des offres et la stratégie de pénétration du marché français. Recrutement (passage de 1 à 5 collaborateurs) pour renforcer les opérations commerciales et techniques.  Support technique et optimisation des solutions IA Suivi des premiers déploiements de la technologie sur le terrain Coordination avec l’équipe R&amp;D aux États-Unis pour adapter les solutions d’IA en France Retour d’expérience des viticulteurs à la Direction Produit américaine dans une démarche d’amélioration continue.  Visibilité et représentation de l’entreprise en France Organisation et participation à des événements viticoles et salons professionnels pour promouvoir l'entreprise. Développement de supports marketing et de communication adaptés au marché français. Présentation des bénéfices de l’IA dans la gestion des vignobles auprès d’associations viticoles et groupes d’experts.</t>
  </si>
  <si>
    <t>Square Management est intervenu en tant que Chargé de développement et de clientèle pour Bloomfield Robotics, une start-up américaine spécialisée en Intelligence Artificielle (IA) appliquée à la viticulture.
Le contexte était l'expansion internationale de l'entreprise et son implantation en France.
Le rôle a consisté à développer la présence commerciale et opérationnelle en France, incluant l'établissement de partenariats stratégiques et le recrutement.
La mission a mis l'accent sur le support technique et l'optimisation des solutions IA sur le terrain, en coordination avec l'équipe R&amp;D aux États-Unis pour adapter ces solutions au marché français.
Cela incluait la présentation des bénéfices de l'IA pour une viticulture plus intelligente et durable.</t>
  </si>
  <si>
    <t>Chef de projet marketing</t>
  </si>
  <si>
    <t>GLEAMER</t>
  </si>
  <si>
    <t>Direction Marketing &amp; Affaires Cliniques</t>
  </si>
  <si>
    <t>STRATEGIE MARKETING</t>
  </si>
  <si>
    <t>Start-up pionnière dans les outils de diagnostic à base d’intelligence artificielle (IA) en radiologie, Gleamer avait 3 défis majeurs. Premièrement, exploiter les études cliniques les plus récentes sur ses produits pour améliorer sa proposition de valeur dans un marché très concurrentiel. Deuxièmement, mener des études médico-économiques permettant de modéliser le potentiel de retour sur investissement de ses produits auprès des clients. Et enfin, lancer de nouveaux produits d’IA et se diversifier.</t>
  </si>
  <si>
    <t>Cadrage de projets (études médico-économiques) Planning, costing, staffing Animation et rédaction des comptes-rendus des réunions entre les différentes parties prenantes (direction de Gleamer, cabinets de conseil, agences publiques, établissements de santé) Rédaction des dossiers de financement auprès de BPI France  Documentation marketing et commerciale Mise à jour des présentations commerciales et des brochures : nouvelle charte graphique, nouvelles études à mettre en valeur Création d'infographies à destination des clients et de leurs patients : cahier des charges, design global, collaboration avec un designer  Lancement de produit (logiciel d’intelligence artificielle) Analyse concurrentielle Animation d'ateliers auprès des équipes commerciales Rédaction de la proposition de valeur et création d'une présentation commerciale préliminaire  Analyse marketing Analyse de marché et veille concurrentielle Reportings réguliers auprès des équipes marketing et commerciales</t>
  </si>
  <si>
    <t>Square Management est intervenu en tant que Chef de projet marketing auprès de GLEAMER, une start-up pionnière dans les outils de diagnostic à base d'Intelligence Artificielle (IA) en radiologie. La mission portait sur la stratégie marketing et l'aide au lancement de nouveaux produits d'IA. Le rôle a consisté à cadrer des études médico-économiques, mettre à jour la documentation marketing et commerciale, et gérer le lancement de logiciels d'IA, y compris l'analyse concurrentielle et la définition de la proposition de valeur.</t>
  </si>
  <si>
    <t>CREDIT AGRICOLE SA</t>
  </si>
  <si>
    <t>Direction de la transformation digitale et de l'innovation</t>
  </si>
  <si>
    <t>Plan de transformation à moyen terme groupe</t>
  </si>
  <si>
    <t xml:space="preserve">Construction du plan de transformation du Groupe Crédit Agricole et de ses filiales à 2025 sur 6 axes Clients, collaborateurs, organisation, technologies, plateformes, innovation </t>
  </si>
  <si>
    <t>Diagnostic de matruitéet de trajectoire digitale des filiales du Groupe Crédit Agricole sur les 6 axes: Innovation, Plateformes, Collaborateurs, Clients, Technologies, Stratégie de transformation. •Mise en oveured'un questionnaire et conduite d'entretien avec les dirigeants des filiailes •Etat des lieux suite au PMT précédent •Diagnostic détaillé de la  maturité digitale des métiers •Benchmark des pratiques du marché et identification des facteurs clé de succès •Synthèse des travaux et construction de la feuille de route •Elaboration des ambitions stratégiques •Piste de reflexionpour accélérer la transformation digitale Conduite d'ateliers d'idéation sur les thématiques prospectives (DATA/IA, Métavers, Blockchain et Cryptomonnaies, Plateformes (Banque As a Service) •Synthèses d'ateliers •Production de recommentationsstratégiques</t>
  </si>
  <si>
    <t>Square Management est intervenu en tant que Consultante auprès de CREDIT AGRICOLE SA (Direction de la transformation digitale et de l'innovation) pour la construction de leur plan de transformation à moyen terme groupe (PMT) à l'horizon 2025. Le rôle a consisté à réaliser un diagnostic de maturité digitale des filiales et à construire la feuille de route stratégique. Concernant l'IA, la mission comprenait la conduite d'ateliers d'idéation sur les thématiques prospectives, notamment la DATA/IA, afin d'élaborer des recommandations stratégiques pour accélérer la transformation digitale.</t>
  </si>
  <si>
    <t>Consultant data</t>
  </si>
  <si>
    <t>FERRERO</t>
  </si>
  <si>
    <t>Direction Marketing et Communication</t>
  </si>
  <si>
    <t xml:space="preserve">Stratégie de communication </t>
  </si>
  <si>
    <t>Projet d’optimisation des campagnes de communications internes (mobilisation d’équipe et montée en compétence) et externes (campagnes de publicités, rédactions d’articles, animation de réseaux fidélités et réseaux sociaux).</t>
  </si>
  <si>
    <t>CONSULTANT DATA / CONSEIL EN COMMUNICATION Collecte et analyse de données sémantiques via des outils IA développés en interne Création de fiches personae agile en lien avec les tendances de marchés Rédaction de calendriers éditoriaux appuyés sur des stratégies de communication « data-drivées » Recommandation de sujet de communication et lien avec les agences de communication pour la production</t>
  </si>
  <si>
    <t>Square Management est intervenu en tant que Consultant data/Conseil en communication auprès de la Direction Marketing et Communication de FERRERO, dans le cadre d'un projet d’optimisation des campagnes de communication internes et externes.
Le rôle a consisté à exploiter des outils d'Intelligence Artificielle développés en interne pour la collecte et l'analyse de données sémantiques.
Cette analyse IA a servi de base à la création de fiches "personae agile" et à la rédaction de calendriers éditoriaux pour une stratégie de communication "data-drivée".
La mission visait également la recommandation de sujets de communication et la coordination avec les agences de production.</t>
  </si>
  <si>
    <t>Datascientist</t>
  </si>
  <si>
    <t>Direction IA et Big Data</t>
  </si>
  <si>
    <t>Classification d'emails</t>
  </si>
  <si>
    <t>Au sein du pôle BigData, le projet a consisté à classifier les emails du périmètre indemnisation et vie</t>
  </si>
  <si>
    <t>Les principales tâches de la mission sont les suivantes : - développement d’un programme de classification du type de demande - automatisation de réponses - création de dashboards</t>
  </si>
  <si>
    <t>Square Management est intervenu en tant que Datascientist au sein de la Direction IA et Big Data d'ALLIANZ, dans le contexte du pôle BigData.
La mission IA a consisté à développer un programme de classification des emails du périmètre indemnisation et vie.
Le rôle a impliqué le développement de ce programme pour classifier les types de demande.
Cela a permis l'automatisation des réponses et la création de dashboards, utilisant l'IA pour traiter les données d'emails.
L'objectif était d'optimiser le traitement des demandes reçues par email.</t>
  </si>
  <si>
    <t xml:space="preserve">PMO Data et IA </t>
  </si>
  <si>
    <t xml:space="preserve">Data et IA </t>
  </si>
  <si>
    <t xml:space="preserve">PROGRAMME STRATEGIE DATA &amp; IA </t>
  </si>
  <si>
    <t>Dans le cadre du programme d’accélération de la data et IA du groupe BPCE, la mission a consisté à accompagner la directrice de programme sur 3 volets principaux: Définition et conception d’un cadre organisationnel agile pour le plateau Data et IA du Groupe Conseil en stratégie opérationnelle pour acculturer les métiers sur les sujets innovants porté par la data Consolidation et suivi budgétaire du pôle « usages avancés de la Data »</t>
  </si>
  <si>
    <t>Mise en place du Framework Agile Safe &amp; Target Operating model Rôle de RTE (RelaseTrain Engineer) au sein du programme Conception du dispositif et du cadre organisationnel  cible des équipes Organisation des premiers PI Planning avec plus de 80 participants Production des différents livrables associés (rétro, Restitution des engagements, Kit agilité à l’échelle..)  Pilotage du programme et suivi du delivery Coordination du delivery et animation d’une équipe de 6 PO Data Animation de synchro de Scrum et des équipes de Datascientist Production et validation des différents livrables du programme (Features backlog, programm board, team board Note de cadrage, compte-rendu, spécification de cadrage..)  Stratégie opérationnelle et PMO Participation aux comités de pilotage et aux instances de gouvernance des projets data Préparation de plusieurs démonstration des travaux à destination des différentes banques et caisses Construction de la road map annuelle et des budgets Consolidation et reporting mensuel des différents projets</t>
  </si>
  <si>
    <t>Square Management est intervenu en tant que PMO Data et IA au sein de BPCE, dans le cadre du programme d’accélération de la data et IA du groupe. La mission consistait à accompagner la directrice de programme sur plusieurs volets, notamment la définition d'un cadre organisationnel agile (Framework Agile Safe) pour le plateau Data et IA du Groupe et l'acculturation des métiers sur les sujets innovants portés par la data. Le consultant a joué le rôle de RTE (Release Train Engineer), a piloté le programme, suivi le delivery, et coordonné une équipe de PO Data et Datascientist.</t>
  </si>
  <si>
    <t>PO et MOA</t>
  </si>
  <si>
    <t>PO et MOA - Déploiement  d’un clausier digital</t>
  </si>
  <si>
    <t>Dans un contexte de transformation de la filière juridique de la SG, la mission de notre équipe est de mettre en place un clausier juridique. L'objectif est double, à savoir déployer l’outil mais aussi accélérer la digitalisation des templates. Ainsi l'enjeu est d'accompagner les équipes juridiquesdans cette transition et donc de recenser et analyser les modèles de contrats, mais aussi de les accompagner à se servir de ce nouvel outil. De plus, j'ai eu l'opportunité en tant que PO de pouvoir travailler sur la mise en place d'un outil IA pour accélérer l’homogénéisation des contrats.</t>
  </si>
  <si>
    <t>PO •Mise en place d’une stratégie et de la roadmap de digitalisation des documents ; •Création d'une cartographie des différents modèles de contrats ; •Accompagnement au changement des juristes ; •Animation et organisation d'ateliers auprès des équipes juridique : analyse des contrats, homogénéisation entre les différentes versions de contrats et découpage en clauses dans une matrice Excel ; •Formations des juristes pour la digitalisation de leurs contrats ; •Identification des améliorations de l’outil et rédaction des SPECs dans JIRA ; •Product ownerd’un projet d’intelligence artificielle pour découper les contrats en clauses et rassembler les clauses similaires afin de faciliter l’analyse et l’homogénéisation des contrats. PMO •Reprise de la comitologie et du RACI ; •Suivi de la roadmap, des cérémonies agiles, de la rétro, des sprints review; •Instance de gouvernance: préparation des COPILS, des steerco; •Mise en place des fichiers de suivi.  Résultats •Déploiement de l’outil Legal Docgenauprès des équipesjuridiques ; •Déploiement d’un outil IA pour homogénéiser les contrats.</t>
  </si>
  <si>
    <t>Square Management est intervenu en tant que PO et MOA au Secrétariat Général de SOCIETE GENERALE pour accompagner la transformation de la filière juridique et le déploiement d'un clausier digital. La mission comprenait la mise en place d'un outil d'Intelligence Artificielle pour accélérer l’homogénéisation des contrats. En tant que Product Owner, le rôle a consisté à piloter ce projet IA, notamment en définissant les besoins pour découper et rassembler les clauses similaires des contrats. Ce travail visait à faciliter l'analyse, l'homogénéisation des modèles de contrats et le déploiement de l’outil.</t>
  </si>
  <si>
    <t>CONFIDENTIEL - SECTEUR LUXE</t>
  </si>
  <si>
    <t>Innovation / R&amp;D</t>
  </si>
  <si>
    <t>Lancement d'un skincare diagnosis via IA</t>
  </si>
  <si>
    <t>Le pôle Digital Open Innovation - New Services Design de cet acteur du luxe pilote de nombreux projets innovants afin d'améliorer l'expérience client en magasin et en ligne. Suite aux nombreux projets dans la roadmap, le pôle a eu besoin d'un renfort expérimenté dans le pilotage de projets innovants dans le but de créer de nouveaux services "Retail / Expérience client" à destination des clients finaux. L'enjeu principal a été de cadrer et déployer une machine de Skincare Diagnosis en magasin basée sur l'intelligence artificielle afin de proposer aux clients des produits adaptés à leurs besoins en produits cosmétiques.</t>
  </si>
  <si>
    <t>Phase de cadrage du déploiement du Skincare Diagnosis en magasin : Analyser les besoins des parties prenantes (magasins, marketing, R&amp;D, ...). Cartographier via différents workshops les offres de services existants en magasins et inclure les cas d'usages associés au futur Skincare Diagnosis. Construire l'ensemble des templates affichés aux clients lors de Skincare Diagnosis. Définir le modèle d'intégration de la technologie choisie avec les systèmes IT existants. Phase de déploiement du Skincare Diagnosis en magasin : Suivre tous les développements avec les équipes de Développement et le Tech Provider (partenaire externe). Piloter les phases de tests avec les équipes R&amp;D, IT et magasins. Pilotage de projet : Prendre en charge la gestion opérationnelle du projet (coûts, qualité, délais) et la coordination avec l'ensemble des interlocuteurs dont la R&amp;D Skin Care, la performance numérique, les équipes de Design, l’IT, ... Proposer des tableaux de bords sur l'état d'avancement en fonctions des streams définis. Gérer la comitologie du projet (COPIL, COMOP,...).</t>
  </si>
  <si>
    <t>Square Management est intervenu en tant que Chef de projet au sein du pôle Digital Open Innovation - New Services Design de CONFIDENTIEL - SECTEUR LUXE.
La mission était centrée sur le cadrage et le déploiement en magasin d'une machine de "Skincare Diagnosis" basée sur l'Intelligence Artificielle, visant à améliorer l'expérience client et proposer des produits cosmétiques adaptés.
Le rôle a consisté à analyser les besoins des parties prenantes, cartographier les offres de services et définir le modèle d'intégration de la technologie IA.
Square Management a également piloté la phase de déploiement, incluant le suivi des développements avec le partenaire externe (Tech Provider), la gestion des tests (R&amp;D, IT, magasins), et la gestion opérationnelle du projet (coûts, qualité, délais).
Cela a permis la création d'un nouveau service "Retail / Expérience client" utilisant l'IA.</t>
  </si>
  <si>
    <t>—— Missions ajoutées depuis « missions_IA_verifiees » — IA forte, PRO uniquement (44) ——</t>
  </si>
  <si>
    <t>Rollout Manager</t>
  </si>
  <si>
    <t>REXEL</t>
  </si>
  <si>
    <t>Digital Factory</t>
  </si>
  <si>
    <t>Déploiement d'un outil d'Optical Character Recognition</t>
  </si>
  <si>
    <t xml:space="preserve">Rexel est un leader international de distribution de matériel électrique, de chauffage, d'éclairage et de plomberie
Les agences reçoivent encore un grand nombre de commandes PDF qui s'avèrent très chronophages à traiter pour les vendeurs qui passent plusieurs heures par mois pour rentrer les commandes dans le CRM.
Esker est une solution qui utilise le machine learning pour pouvoir traduire les commandes PDF et les enregistrer dans le CRM sans intervention humaine.
Combien de millions/d'heures sauvées ?
</t>
  </si>
  <si>
    <t xml:space="preserve">En tant que Rollout manager, mon rôle était de synchroniser toutes les parties prenantes pour déployer la solution sur 9 pays en 2022
Travail direct avec les équipes pays : business, sales, IT ; les équipes groupe : EU digital et IT ; Esker : dév
Méthode Tollgate,
Organisation et animation des steering committee
Suivi des avancées scoping/dév et déploiement
</t>
  </si>
  <si>
    <t>Data analyst / scientist</t>
  </si>
  <si>
    <t>MEDIAMETRIE</t>
  </si>
  <si>
    <t>Direction Enquêtes Panels</t>
  </si>
  <si>
    <t>Alternance Data Analyst / Data Scientist</t>
  </si>
  <si>
    <t>Médiamétrie s'appuie sur un panel de 60 000 personnes résidant en France qui participent quotidiennement à la mesure d'audience des médias.
L'équipe Pôle Analyse de Données a pour missions de garantir la qualité des données des panélistes et de fournir des reportings et analyses afin d'améliorer le pilotage des panels de Médiamétrie.</t>
  </si>
  <si>
    <t>Clustering
* Préparation de la base de données avec SAS (sur de gros volumes de données)
* Clustering avec Python selon certaines variables
* Analyse des clusterings et explicabilité des clusters
Analyse et traitement de texte
* Récupération des réponses à un questionnaire libre 
* Application de NLP sur ces données avec Python (WordCloud, ...)
* Analyse de sentiments sur les réponses
Production de tableaux de bord et de reportings pour aider au pilotage des panels
* Gestion des données sur SAS
* Création des reportings sur Tableau et Excel 
  * Suivi quotidien des panels : taille de panel, taux de répondants, recrutements, ...
  * Suivi des relances : nombre de relances, taux de reconnexion, ...
Automatisation de processus d'extraction : création et automatisation de programmes SAS
Rédaction de documentations : documentation générale des panels et des bases de données, documentation technique (documentation des processus)</t>
  </si>
  <si>
    <t>BNP PARIBAS ASSET MANAGEMENT</t>
  </si>
  <si>
    <t>Equipe Reporting Data</t>
  </si>
  <si>
    <t>Mission Data Scientist</t>
  </si>
  <si>
    <t>L'équipe Reporting Data a pour mission de s'assurer de la validité et de la disponibilité quotidienne des données.
Des contrôles sont donc effectués pour s'en assurer.
La mission de Sabrina consiste à développer un algorithme de Machine Learning devant réduire le nombre de contrôles à effectuer. Pour ce faire, l'objectif est de réaliser un regroupement d'individus similaires (ayant le même comportement en termes de réception de données) pour prédire la présence ou non de la donnée.</t>
  </si>
  <si>
    <t xml:space="preserve">Compréhension du besoin et de la problématique
Récupération des données open source (données boursières)
* Collecte de données de cotations d'entreprises appartenant à de grands indices boursiers (CAC, NYSE, ...)
Développement de modèles de clustering
* Entraînement : 
  * Recherche et sélection de différentes méthodes de clustering pertinentes avec les données (K-Means, C-Means, Agglomerative Clustering, ...)
  * Choix du nombre de clusters (méthode du coude)
  * Calcul des clusters
* Test : 
  * Calcul d'un pourcentage de présence de la donnée par rapport aux clusters calculés pour une date précise
  * Définition d'un seuil déterminant la présence ou l'absence de la donnée
Analyse et présentation des résultats
* Tableau de bord (Tableau Software) permettant de visualiser les résultats en fonction des paramètres choisis </t>
  </si>
  <si>
    <t>Data-Scientist</t>
  </si>
  <si>
    <t>Reporting Data</t>
  </si>
  <si>
    <t>Au sein de l’équipe Reporting Data, la mission principale est de s’assurer que les données reçues par BNPP AM (données de fonds d’investissement) soient non manquantes et correctes.
Pour cela des contrôles (humain ou logiciel) sont mis en place afin de s’assurer de la viabilité des données. Intervenant en alterance, j’étais en charge de trouver un moyen de réduire le nombre de contrôles effectués par l’équipe et cela en mettant en place des détections automatiques grâce au Machine Learning.</t>
  </si>
  <si>
    <t>Développement de modèles de prédiction :
* Compréhension de la problématique
* Développement des modèles de prédiction (Python : Clustering, Machine Learning)
* Analyse des résultats
* Mise en place de la solution
Automatisation de reporting de performance de fonds :
* Compréhension des problématique auprès des analystes
* Développement du traitement des données et mise en forme du rapport via Alteryx
Création de maquettes et développement de dashboards automatisés :
* Récupération des demandes auprès des Portfolio Managers
* Développement du traitement de la données via Alteryx
* Mise en production des dashboards automatisés via Tableau Software
Rédaction de documentations : documentation générale, documentation technique (description de process), présentations via slides</t>
  </si>
  <si>
    <t>Société Générale SGRF</t>
  </si>
  <si>
    <t>Direction Data - Data Science Risque</t>
  </si>
  <si>
    <t>Data science : Modélisation de pré-évaluation pour l'octroi de crédit</t>
  </si>
  <si>
    <t xml:space="preserve">Dans le rôle de Data scientist au sein de SGRF dans la direction Data Intelligence, équipe Data science Risque, nos missions principales consistent à être garant de la performance des modèles de risque mis en place pour les métiers (marché des particuliers, professionnels, entreprises). 
Le modèle en question est un modèle à l'octroie de crédit permettant dans un premier temps d'évaluer le profil risque d'un client, puis de proposer à l'agent un montant de crédit à court terme et moyen long terme (pré-évaluation du crédit).
</t>
  </si>
  <si>
    <t>Dans le cadre de son rôle de Data Scientist, il contribue à la conception et à l’évolution des modèles de risque pour l’octroi de crédit, tout en assurant la coordination avec les équipes métiers et la mise en place de solutions innovantes.
Responsabilités principales :
•Coordination et pilotage des échanges avec les parties prenantes (équipes marché, risque, direction) afin de garantir la cohérence des évolutions et des livrables.
•Conception d’un nouveau modèle statistique d’octroi de crédit, visant à améliorer la précision des scores et la prise de décision.
•Animation d’ateliers métiers pour accompagner la mise en place d’un nouveau modèle statistique d’octroi de crédit et recueillir les besoins fonctionnels.
•Évolution des modèles existants, en intégrant les retours métiers, les études réalisées et les recommandations issues des audits réglementaires (BCE).
•Étude de représentativité dans le cadre de la fusion Crédit du Nord et Société Générale, pour l’intégration des nouvelles populations dans les modèles.
· Rédaction de la documentation technique du modèle d’octroi de crédit, décrivant le fonctionnement du modèle, les hypothèses retenues, les variables utilisées, ainsi que les règles de décision associées.
•Proof of Concept (POC) IA: expérimentation d’un LLM (GenerativeAI) pour explorer des cas d’usage innovants au sein de l’équipe.
•Support opérationnel auprès des équipes marché en cas de détection d’anomalies dans les modèles.
Environnements techniques : Python, Spark, SAS, Dataiku
 Domaines métiers :Risque de crédit, Octroi de crédit</t>
  </si>
  <si>
    <t>Unité Data, Engagement, Marketing &amp; Stratégie</t>
  </si>
  <si>
    <t>Flux et Leads - Etude, analyse et et gestion du périmètre</t>
  </si>
  <si>
    <t>Au sein de l'équipe Leads &amp; Data et plus précisément de la section Acquisition et Contenus Digitaux, l'enjeu est de développer la part des affaires liées au digital à travers différents outils de marketing permettant d'obtenir de la visibilité pour le site Allianz. Au sein de l'équipe, la division Analytics et Data a pour but de mesurer les évolutions de ces mises en oeuvre marketing, améliorer la transition entre les venues sur le site et les envois en agence etc.</t>
  </si>
  <si>
    <t>Compréhension/Fiabilisation/Enrichissement des bases de données (SAS, Python) :
* Prise en main de l'environnement afférent et cartographie des bases de données et de leurs variables.
* Comparaison de bases de données, analyse des variables, jointure de table pour ajouter des variables/informations.
* Extraction de bases Oracle.
Calcul de kpi / Mise en place de règles suite aux études :
* Mise en place de règles de gestion sur les variables de flux et d'affaires nouvelles (définition d'un flux, dédoublonnage sous certaines règles des affaires nouvelles...).
* Création de DashBoard/Reporting avec Excel, VBA.
Automatisation des procédés :
* Création de macros permettant l'extraction, le nettoyage, l'implémentation des règles sur le périmètre des données. 
* Création et modification de macros existantes pour complémenter des processus.
* Travail avec les équipes IT pour automatiser le tout sous batch.
* Documentation de tous les processus.
Amélioration des outils et processus au sein de l'équipe :
* Participation à une modélisation NLP d'une base twitter pour aider le périmètre pro à analyser le sentiment des tweets (pour appliquer par la suite sur des avis google).
Migration des processus de SAS à GDP (environnement cloud/Azure avec code en python/Pyspark) :
* Fiabilisation des bases (recettages, enrichissement, traitements de données).
* Construction d'un workflow pertinent et automatisé.</t>
  </si>
  <si>
    <t xml:space="preserve">VirtualExpo </t>
  </si>
  <si>
    <t>B2B</t>
  </si>
  <si>
    <t>Growth.</t>
  </si>
  <si>
    <t>* NLP pour les descriptions des produits proposés sur les sites webs de VE via Python (Keras, Tensorflow &amp; Hugging Face).
KPI du trafic web (HeidiSQL, Python, Excel).
Mise en place de modèles prédictifs pour le pôle commercial (Python, DataIku).
Réaliser avec l’équipe qualité les audits sur différents projets.
Identifier, analyser et recentrer les anomalies, dérives et les non conformités, puis proposer des actions préventives et correctives pour les résoudre.
Mettre en place des indicateurs et tableaux de bord de suivi.
Intervenir sur les indicateurs de Qualités lorsqu’ils présentent des incohérences.
Effectuer les rapports Qualité.
Participer à la rédaction des ajustements de procédures (internes et outsourcing).
Outils quotidien: DataIku (DSS) &amp; Python (Tensorflow, Keras, Numpy &amp; HuggingFace)NLP pour les descriptions des produits proposés sur les sites webs de VE via Python (Keras, Tensorflow &amp; Hugging Face). KPI du trafic web (HeidiSQL, Python, Excel). Mise en place de modèles prédictifs pour le pôle commercial (Python, DataIku). Réaliser avec l’équipe qualité les audits sur différents projets. Identifier, analyser et recentrer les anomalies, dérives et les non conformités, puis proposer des actions préventives et correctives pour les résoudre. Mettre en place des indicateurs et tableaux de bord de suivi. Intervenir sur les indicateurs de Qualités lorsqu’ils présentent des incohérences. Effectuer les rapports Qualité. Participer à la rédaction des ajustements de procédures (internes et outsourcing). Outils quotidien: DataIku (DSS) &amp; Python (Tensorflow, Keras, Numpy &amp; HuggingFace)
* Compétences : Python · Cybersécurité · Git · Microsoft Excel</t>
  </si>
  <si>
    <t>Data Scientist Lead</t>
  </si>
  <si>
    <t>Investance Partners</t>
  </si>
  <si>
    <t>Data science</t>
  </si>
  <si>
    <t>After a large strategic study launched by the partners of the firm to determine new strategic choices and maintain the growth, a data science offer has been launched during the year 2020. This new offer will meet the needs of applications and data valuation.</t>
  </si>
  <si>
    <t>•Defined the roadmap and timeline to build an automated, robust, and extensible forecasting pipeline, thinking strategically about how to maximize business impact
•Ensured the cohesion and good organization of the team (3 consultants)
•Constructed data modeling experiments, evaluating against strong baselines, and extracting key statistical insights and/or cause and effect relations for tenders and pre-sales presentation
•Participate in the responses for tenders and pre-sales presentation
•Build and develop many use cases : credit score / Default prediction / fraud detection
•Design statistical model in R and Python / Statistical methods (Machine Learning, Scoring, Network Analysis...)
Tools : Collab pro (python)</t>
  </si>
  <si>
    <t>Apprentie</t>
  </si>
  <si>
    <t>Lab Computer Science &amp; AI</t>
  </si>
  <si>
    <t>Détection d'anomalies sur les éoliennes</t>
  </si>
  <si>
    <t>J'ai rejoint le data lab d'ENGIE en tant qu'apprentie pour travailler sur la maintenance prédictive des éoliennes, et plus précisément sur le sujet de la détection d'anomalies. À l'heure actuelle, les algorithmes d'ENGIE permettent de déclencher une alarme lorsqu'une anomalie est détectée. Toutefois, lorsque le modèle prédit une anomalie, nous ne savons pas à quel point il est confiant dans sa prédiction. L’objectif de mon alternance a été de trouver et d’implémenter une solution qui permette de quantifier l’incertitude d’un modèle.</t>
  </si>
  <si>
    <t>* Etat de l'art sur la détection d'anomalies dans les séries temporelles.
* Exploration de l'approche bayésienne qui permet de quantifier l'incertitude du modèle dans sa prédiction.
* Implémentation des solutions en Python.
* Réalisation d'un rapport (mémoire de fin d'étude d'une soixantaine de pages) en anglais et d'une présentation.
Résultats : Des modèles implémentés ont été capables de détecter des anomalies et d'exprimer leur confiance vis-à-vis de leurs prédictions. Grâce à mon travail, l'équipe chargée de la maintenance prédictive des éoliennes aura connaissance des pistes explorées, celles qui sont applicables et celles qui ne le sont pas. L'équipe pourra donc s'appuyer sur mon rapport et réutiliser mon code.
Stack technique : Python (Tensorflow, Tensorflow Probability, NumPy, Pandas)</t>
  </si>
  <si>
    <t>DTO Transfer&amp;Operation/MOD Modélisation</t>
  </si>
  <si>
    <t>Mission Lutte Anti-blanchiment / Financement du Terrorisme (LCB-FT)</t>
  </si>
  <si>
    <t>Dispositif de deux consultants dans l'équipe DTO Modélisation de la Direction CPLE.
Développement, déploiement, mise en production et monitoring d'un modèle de Machine Learning en lieu et place des règles métiers existantes, conjointement avec les différents métiers de la chaîne AML.
À l'issue d'un POC, le département de la conformité de la Société Générale a décidé de remplacer les méthodes de détection de fraude dans le cadre du contrôle LCB-FT.</t>
  </si>
  <si>
    <t>- Développement d'un pipeline de modélisation à partir des différentes bases de données client (données de transactions, données d'alertes, données SAR, données KYC).
- Création de la base d'entraînement du modèle, en adéquation avec les besoins métier (entité BRD), les sponsors du projet et les contraintes techniques (environnement big data)..
- Génération et ingénierie des paramètres du modèle (plusieurs versions développées puis discutées avec les métiers).
- Sélection des meilleurs paramètres des modèles (méthode de feature selection : Boruta, MRMR)
- Optimisation et choix du modèle final avant déploiement (parmi modèle d'arbre : Random Forest, XGBoost).
- Documentation des travaux pour revue par le département Model Risk Management.
- Préparation et planification de la mise en production et du monitoring.
- Méthodologie de développement collaboratif (utilisation git/push).
- Contexte international en anglais (entité basé en Roumanie).
Langage : Python / PySpark
Environnement : Foundry (plateforme de développement et de déploiement de data science)
Les très bons résultats du modèle ont permis une économie de ressources pour les analystes LCB-FT (~40 % d'alertes à analyser en moins), et une amélioration du système de détection en place (moins de 4 % de fraudes ratés).</t>
  </si>
  <si>
    <t>CAPGEMINI INVENT</t>
  </si>
  <si>
    <t>Prédiction de valeurs foncières</t>
  </si>
  <si>
    <t>Capgemini Invent, un cabinet de conseil, voulait proposer un exemple simple et parlant d’un outil de machine learning lors de prospection chez des clients.
L’outil est développé en Python.</t>
  </si>
  <si>
    <t>L'objectif est de développer une intelligence artificielle pouvant prédire la valeur foncière de biens immobiliers puis de la présenter à des prospects.
* Extraction de données open source
* Analyse des données
* Sélection des données selon le besoin du projet (compatibles avec la base de données de l’agence)
* Adaptation des données et data augmentation
* Développement et optimisation de plusieurs modèles de régression puis comparaison
* Production de visuels pour illustrer le projet
* Présentation du projet à un public au niveau de technicité mixte
Résultats :
L'outil et sa présentation ont permis d'illustrer par un exemple le savoir faire du cabinet et de gagner la confiance des clients approchés.</t>
  </si>
  <si>
    <t>Ingénieur Data Science</t>
  </si>
  <si>
    <t>Ariane Group</t>
  </si>
  <si>
    <t>Recherche avant-projets</t>
  </si>
  <si>
    <t>NLP pour la recherche en avant-projets</t>
  </si>
  <si>
    <t xml:space="preserve">   La mission consistait à prouver les capabilités du NLP pour la recherche en avant-projets.
   Karim devait analyser et extraire les informations d'un large corpus de documents afin d'aider à cartographier le marché de l’aérospatiale dans lequel se situe l’entreprise. 
   Il s'agissait de déterminer les tendances actuelles, les concurrents, les clients potentiels, les ressources exploitables etc, tout ceci avec grande précision et plus beaucoup plus rapidement qu’un humain.</t>
  </si>
  <si>
    <t xml:space="preserve">Scrapping de PDF &amp; Word 
• Extraction de texte de documents PDF 
• Extraction de texte d'images
Analyse sémantique
• Création de Dataframe de segments de textes
• Analyse syntaxique et embedding via du TF-IDF
• Clustering de documents selon leur contexte
• Reconnaissance d'entités textuelles au vue d'une ontologie à l'aide de réseaux de neurones
• Mise en place de KPI de contrôle des résultats
• Etude sémantique via le modèle BERT
• Classification supervisée pour validation de modèle NLP : Random forest
Visualisation Power BI
• Traitement de bases de données en amont : Excel, SQL
• Similarité des documents
• Histogramme de proportion des mots uniques d'un document pour une analyse sémantique
• Courbes graphiques des performances des analyses des réseaux de neurones
• Diagramme de résultats du clustering
</t>
  </si>
  <si>
    <t>Consultant Chercheur</t>
  </si>
  <si>
    <t>Digital &amp; Payments</t>
  </si>
  <si>
    <t>Accompagnement R&amp;D pour l'extraction d'information des libellés de transactions de carte bleue</t>
  </si>
  <si>
    <t xml:space="preserve">Le client travaillait sur la mise en place de modèles pour la détéction de moments de vie. Il souhaitait en particulier enrichir ces modèles par l'ajout de l'information contenu dans les libellés de carte bleue. Il a cependant pas réussi à mettre en place une méthode d'extraction de cette information concluante. Nous sommes donc intervenue sur cette mission R&amp;D pour résoudre cette problématique. </t>
  </si>
  <si>
    <t xml:space="preserve">La mission a commencé par un travail d'audit de l'existant chez le client pour comprendre la démarche mise en place par le client ainsi que ses limites.
Nous avons ensuite menée une revue de l'état de l'art: sélection, lecture et resumé des articles scientifiques en rapport avec le sujet. 
Livraison de la revue de l'état de l'art, environ une dizaine d'article résumé parmis les quelques dizaines de selectionnés.
Proposition d'un protocole de recherche avec recommendation d'une méthode basé sur du NLP pour guider la démarche vers une solution satisfaisante pour le client. 
Implémentation de la méthode en PySpark et entrainement non supervisé du modèle sur les données de transactions des clients pour produire les embeddings voulus. 
Reflexion et implémentation  d'une métrique d'évaluation des embeddings à partir de données annexes (code mcc). Explication des limites de la méthode au client qui a validé la métrique en connaissance de cause. 
Implémentation d'une méthode de visulation interactive des clusters créés par le modèle. Ce point à permis au client de mieux visualiser et explorer la qualités des embeddings produits. En effet nous avons réussi à produire des représentations vectorielles de ces libellées de CB qui conserve les similarités d'usage et géographique des libellés. 
Livraison du code documenté ainsi que de l'ensemble des documents explicitant la démarche. </t>
  </si>
  <si>
    <t>Business analyst</t>
  </si>
  <si>
    <t>MACIF</t>
  </si>
  <si>
    <t>Direction sinistres</t>
  </si>
  <si>
    <t>Automatisation de la lecture des rapports d’expertise médicale</t>
  </si>
  <si>
    <t>Sous la pression de l’arrivée de nouveaux concurrents intégralement en ligne ayant des coûts administratifs bien moindre, la Macif cherche à réduire le temps passé par ses experts à extraire et calculer les informations présentes dans les rapports d’expertise médicale. Les médecins ayant refusé l’implémentation d’une plateforme en ligne, la mission de Kerr est de de concevoir et d’implémenter une solution automatisant la lecture et l’extraction de ces données.</t>
  </si>
  <si>
    <t>Solution développée :
* Un outil acceptant des rapports d’expertise médicale au format pdf ou word, et livrant un rapport au format Excel contenant les données et calculs permettant d’établir les taux de remboursement, ainsi que leurs localisations dans le document.
Réalisations :
* Animation de deux workshops avec trois experts métiers afin de définir les besoins du projet, ainsi que les données à extraire des documents, et les calculs à effectuer pour obtenir les 23 indicateurs finaux.
* Planification et budgétisation du développement de la solution, écriture des spécifications du projet pour l’équipe de développement interne.
* Analyse et labélisation de plus de 60 rapports d’expertise, puis configuration de l’IA et de la solution afin de satisfaire aux exigences du projet.
* Conception et implémentation d’une interface spécifique au client et migration de la solution en « on premise » afin de respecter les règles de confidentialité des données médicales.
* Ecriture de la documentation du produit à destination des utilisateurs et animation d’un workshop de test et de présentation du produit.
Résultats :
* Validation de la solution avec un taux de réussite de 78% ainsi qu’une réduction du temps de traitement de 50% lors d’un test chez la Macif sur une équipe restreinte pendant 1 mois.
* Décision du client de mettre la solution en production progressivement avec un objectif de 500 utilisateurs.</t>
  </si>
  <si>
    <t>Responsable Data</t>
  </si>
  <si>
    <t>Prescience</t>
  </si>
  <si>
    <t>RESPONSABLE DATA</t>
  </si>
  <si>
    <t>Prescience est une ESN proposant un ERP en cours de développement fondé en Octobre 2022. Le but de cet ERP est
d'avoir un espace commun à tous les acteurs d'un gros chantier de construction ou d'un projet industriel.</t>
  </si>
  <si>
    <t>* Implémentation de modèles de Machine Learning (Python, Tensorflow)
  * Recherche de données en open data
  * Modélisation avec un Recurrent Neural Network
* Développement web (Rust)
* Création, administration et alimentation de la base de donnée (MySQL)
  * Analyse des besoins en données
  * Création du modèle de données et de la base
Environnement : Python, Tensorflow, Rust, MySQL</t>
  </si>
  <si>
    <t xml:space="preserve">Cheffe d'équipe </t>
  </si>
  <si>
    <t>CMA CGM</t>
  </si>
  <si>
    <t>Direction Risque, Conformité, Audit</t>
  </si>
  <si>
    <t>Digitalisation des moyens de détection des fraudes d'entreprise</t>
  </si>
  <si>
    <t>Associée au Responsable des investigations, l'objectif était d'intégrer dans les process de détection de la fraude interne des process d'automatisation grâce à l'intelligence artificielle.
Etude de faisabilité d'une Blockchain</t>
  </si>
  <si>
    <t>Direction du 1er programme de détection des fraudes internes par l'utilisation de l'intelligence artificielle (Développement et implémentation) : Détection des containers volées sur internet.
* Cadrage du projet de digitalisation de détection des conteneurs volés
* Rédaction du POC
* Validation du budget " projet"
* Mise en place d'une équipe
* Réalisation de Meeting "Point d'étape" afin de s'assurer de la bonne évolution du projet
* Interface entre les prestataires externes (start-up) et CMA CGM
* Coordinatrice des interlocuteurs en interne 
* Présentation du projet à la direction
Etude de faisabilité d'une Blockchain rendant automatique les checks de due diligence grâce à la mise en place de contrats intelligents. Cette technologie a pour avantage de permettre aux experts conformité de se concentrer sur les taches les plus complexes.
Soft skills : Créativité / Capacité d'adaptation / Bonne gestion du stress / Bonne écoute / Travail d'équipe / Compréhension rapide des process / Bonne capacité rédactionnelle et relationnelle / Organisation / Curiosité</t>
  </si>
  <si>
    <t>Auditeur externe</t>
  </si>
  <si>
    <t>CREDIT AGRICOLE TECHNOLOGIES ET SERVICES</t>
  </si>
  <si>
    <t>Data Factory &amp; Usages Data</t>
  </si>
  <si>
    <t>Audit de modèle de Machine Learning</t>
  </si>
  <si>
    <t>Afin d'accompagner ses clients avant qu'ils ne soient en situation de fragilité financière, le Crédit Agricole souhaite détecter les situations à risque à l'horizon de 6 à 9 mois à l'aide d'algorithmes de machine learning. En vue de la mise en production, Christophe a audité la seconde version du modèle de détection.</t>
  </si>
  <si>
    <t>Réalisations
* Examen de la documentation, de la méthodologie et de la cohérence entre modélisation et objectifs
* Analyse exploratoire des données brutes et prétraitées
* Evaluation des performances du modèle : efficacité, robustesse
* Revue de l'implémentation
Livrables
* Liste de vérification des recommandations et préconisation formulées lors de l'audit de la première version
* Nouvelle liste de recommandations et préconisation
Communication
* Restitution des réserves aux équipes de validations, modélisations et métiers
* Présentation des résultats de l'audit à la direction
Outils : Python (scikit-learn, h2o), Spark, SQL (Teradata)</t>
  </si>
  <si>
    <t>HomeExchange</t>
  </si>
  <si>
    <t>Equipe Data</t>
  </si>
  <si>
    <t>Détection de fraude</t>
  </si>
  <si>
    <t>Entreprise française leader mondial de l'échange de maisons entre particuliers, HomeExchange connaît une forte
croissance depuis de nombreuses années ce qui entraine également une hausse de l'activité frauduleuse au sein de
sa plateforme. Pour pallier à cette problématique les équipes de HomeExchange tentent de prévenir les potentiels
fraudeurs sans pour autant disposer de systèmes de détection automatisés. Cette expérience professionnelle a été
réalisée dans le cadre de mon stage de fin d'études à la fin de mon mastère spécialisé à Télécom Paris.</t>
  </si>
  <si>
    <t>C'est dans ce contexte qu'est apparu la nécessité de disposer d'un processus autonome qui soit
capable de détecter efficacement et de façon automatique tout utilisateur contrevenant aux conditions générales
d'utilisation de la plateforme d'HomeExchange. Ci-dessous les différentes missions/étapes réalisées :
* Analyse et cartographie de la fraude
* Analyse et définissions des profils types de fraudeurs
* Construction des bases de données et automatisation de leurs exports (Jobs Glue)
* Création d'un score de fraudes à partir des caractéristiques des utilisateurs
* Construction d’un algorithme de classification multilangues (NLP) pour la détection de messages frauduleux dans le système de messagerie de HomeExchange (résultats : -50% de messages frauduleux)
* Mise en production des modèles dans AWS (S3, Athena, Glue, SageMaker, Bitbucket, Google Sheet..)
* Participation au développement et l’automatisation d’outils analytiques pour la prise de décision (Tableau)
* Management de projet data
* Utilisation de langages informatique (Python, SQL)</t>
  </si>
  <si>
    <t>IDEMIA</t>
  </si>
  <si>
    <t>Laboratoire de recherche</t>
  </si>
  <si>
    <t>Fusions des templates</t>
  </si>
  <si>
    <t>Leader mondial de la sécurité biométrique, Idemia développe des algorithmes de reconnaissance d'identités de
toutes sortes tels que la reconnaissance faciale, la reconnaissance d'iris ou encore d'empreintes digitales. Pour ce
faire, Idemia utilise des bases de référence contenant des images relatives aux identités de certaines personnes à
partir desquelles les algorithmes effectuent des apprentissages profonds. Cette expérience professionnelle a été
réalisée dans le cadre d'un module de formation, durant mon mastère spécialisé à Télécom Paris, qui concernait le
traitement d'une réelle problématique de Machine Learning au sein d'une entreprise.</t>
  </si>
  <si>
    <t>L'objectif de cette mission est d'optimiser les performances d'un algorithme de reconnaissance faciale développé par Idemia, et plus particulièrement, dans la capacité de l'algorithme à reconnaître une même identité sur plusieurs images différentes. L'ensemble des travaux a été développé en Python. Pour optimiser le système biométrique d’identification de Idemia dans les cas de bases de données de référence contenant plusieurs images par individu, j'ai exploré plusieurs pistes, dont voici les principales : 
* Application de méthode purement statistique, sans apprentissage : la moyenne de la moyenne et du maximum, la médiane des scores, le 80ème pourcentile des scores, la moyenne des scores supérieurs au 90ème pourcentile etc....
* Application d'une régression logistique à une série d’indicateurs statistiques calculés sur les scores
* Application d'une méthode de sélection des templates de la base de référence les plus pertinents, basée sur les qualités de référence
* Application d'une méthode de réajustement (bonus ou malus) des scores proches du seuil de décision du modèle d’identification, et basée sur les vecteurs de qualités à la fois search et ref associées au score en question</t>
  </si>
  <si>
    <t xml:space="preserve">Chargé de projet </t>
  </si>
  <si>
    <t>CREDIT AGRICOLE BRIE PICARDIE</t>
  </si>
  <si>
    <t>Direction financière</t>
  </si>
  <si>
    <t>Projet Net Zéro</t>
  </si>
  <si>
    <t>Au sein de la direction financière du CA BRIE PICARDIE, la mission s’inscrit dans le projet sociétal Net Zéro et a pour objectif d’identifier les opportunités stratégiques permettant d'aligner les financements sur des initiatives à faible impact carbone pour atteindre la neutralité carbone d'ici 2050 au sein du secteur de l’immobilier résidentiel.</t>
  </si>
  <si>
    <t>Conception d'un outil Python performant pour extraire des données essentielles de fichiers PDF. 
* Utilisation de la librairie pytesseract pour récupérer les informations des fichiers PDF.
* Exportation des informations sous format csv.
* Alimentation du SI avec les données récupérées.
Analyse approfondie de l'écoulement du bilan des crédits habitats jusqu'en 2030 avec python
* Simulation du capital restant dû et des emissions de GES sur 10 ans.
* Visualisation et interprétation des simulations.
Catégorisation des clients en fonction de leur DPE
* Récupération des données socio démographiques avec SAS pour compléter la base de données.
* Prétraitement des données (One hot coding, supressions de certaines modalités). 
* Utilisation des modèles de Machine Learning (Random Forest et Arbre de décisions).
* Choix des meilleurs hyperparamètres des modèles en utilisant la méthode de validation croisée
* Visulation des résultats avec l'arbre de décisions.
Outils : Python, SAS, SQL, Excel</t>
  </si>
  <si>
    <t>Modélisation</t>
  </si>
  <si>
    <t>Compliance</t>
  </si>
  <si>
    <t>NEXT-GEN AML</t>
  </si>
  <si>
    <t>Dans le cadre de la lutte LCB-FT, le programme Next-Gen AML vise à terme à remplacer les modèles d’alerting par des modèles de machine learning.</t>
  </si>
  <si>
    <t>Suivi d'une équipe de deux consultants pour le prototypage d'un modèle de machine learning (Random Forest) pour venir remplacer un modèle basé sur des règles (scénarios).
Co-construction avec le client des différentes étapes du projet de data science : Hypothèse de modélisation, feature enginering, feature selection, choix du modèles, optimisation des hyperparamètres, mesure des performances.
Echange régulier avec les équipes coté métier pour comprendre au mieux le besoin et choisir ensemble les bons indicateurs de performance.
Accompagnement sur la partie explicabilité des modèles pour contextualiser la sortie du modèle et permettre une utilisation optimisée par les équipes métiers.</t>
  </si>
  <si>
    <t xml:space="preserve">Data Scientist en Risque de Crédit </t>
  </si>
  <si>
    <t>Risk/MRM</t>
  </si>
  <si>
    <t xml:space="preserve">Distillation Learning - Risques de Crédit </t>
  </si>
  <si>
    <t>L’estimation des paramètres bâlois en risque de crédit (PD, LGD) présente de nombreux challenges, notamment ceux liés à la performance et l’explicabilité des modèles sous les contraintes réglementaires. Souvent, les modèles utilisés sont simples et interprétables, ce qui ne permet pas d’atteindre d’excellentes performances. Distillation Learning est une technique en machine Learning permettant de répondre à ce Trade-off (performance/interprétabilité) dans la modélisation du risque de crédit. Cette technique a été utilisée aussi pour la réduction de la complexité de certains modèles NLP de types « Transformer » en internes.</t>
  </si>
  <si>
    <t>1/ Veille technologique
* Faire une revue de l’état de l’art des techniques de distillation en Machine Learning.
* Identifier leurs applications dans le contexte de gestion du risque de crédit en banque notamment en explicabilité (XAI), en amélioration de la performance des modèles et réduction de leur complexité.
2/ Réalisation des tests sur les modèles de l’estimation de la PD en risque de crédit sur le portefeuille de PME France.
* Collecter, nettoyer et traiter les données de tests issues des bases de données internes en utilisant Python et SQL
* Réaliser des tests de distillation sur les données de risques de crédit avec des réseaux de neurones, XGBOOST et LightGBM pour améliorer les modèles IRB d’estimation de la PD.
* Tester des techniques de distillation avancées en se basant sur les GANs et le Transfer Learning.
* Evaluer les performances et les limites de ces techniques dans le cadre de la gestion du risque des modèles.
* Participer à l’amélioration continue des protocoles de revue des modèles de data science en risques de crédit dans le cadre des campagnes LOD2.
3/ Réalisation des tests sur des données textes.
* Réaliser des tests sur des données textes en NLP notamment pour la distillation des Transformers (BERT, GPT-2).
4/ Communication
* Documenter l’étude et animer des ateliers interactifs pour présenter les avancements aux membres de l’équipe.
* Animer des workshops techniques pour faire monter les équipes data et crédit en compétences sur ce sujet.</t>
  </si>
  <si>
    <t xml:space="preserve">Statisticien </t>
  </si>
  <si>
    <t>ATTIJARI WAFABANK</t>
  </si>
  <si>
    <t>Marketing</t>
  </si>
  <si>
    <t xml:space="preserve">Prédiction des risques d’attrition des clients </t>
  </si>
  <si>
    <t>Attijari Wafabank, une des plus grandes banques de détail de la région MENA et du continent africain, souhaite utiliser son historique de données afin de comprendre le phénomène d’attrition de ses clients (churn) après avoir constaté que 30% de ses clients quitte la banque pour une autre. Pour cela, le jeu de données utilisé comporte un certain nombre d’informations clients ainsi que le constat du départ de la banque d’un client dans les 3 mois concernant son attrition. Certaines variables sont clairement exprimées car non sensibles, d’autres sont totalement anonymisées.</t>
  </si>
  <si>
    <t>Produire un système permettant de générer un score de churn afin de fournir aux conseillers une liste de clients à traiter en priorité. Les conseillers bancaires souhaiteraient également comprendre les raisons qui amènent les clients à quitter la banque afin d’adapter leur discours commercial.
1/ Nettoyage et exploration des données à l’aide de Python
- Comprendre les données et analyser des valeurs manquantes ainsi que le déséquilibre du dataset.
- Imputer des valeurs manquantes à l’aide des techniques avancées.
- Utiliser Pandas et Numpy pour la manipulation des données.
2/ Analyses statistiques des facteurs liés au churn.
- Produire une analyse statistique détaillée à l’aide des visualisations comme les Bar plots, Box plots, etc.
- Comprendre l’effet de chaque variable sur le churn à l’aide de l’analyse des corrélations.
- Réduire la dimensionnalité du dataset.
- Utiliser Matplotlib et Seaborn pour la production des visualisations.
3/ Modélisation
- Utiliser les modèles de classification comme Gradient Boosting, Arbre de décision et Régression logistique.
- Comparer et sélectionner le meilleur modèle l’aide du ROC AUC, Recall et F1 Score.
4/ Analyse de l’interprétabilité des modèles utilisés.
- Utiliser les Shapley Values pour expliquer le modèle XGBOOST séléctionné.</t>
  </si>
  <si>
    <t>ONEY BANK</t>
  </si>
  <si>
    <t>Data &amp; Score</t>
  </si>
  <si>
    <t xml:space="preserve">Scoring Risque de Crédit - Recouvrement </t>
  </si>
  <si>
    <t>Dans le cadre de la refonte des processus de scoring du risque de crédit, le département Data &amp; Score de Oney Bank a souhaité développer deux modèles de scoring liés au risque d'impayés de leur portefeuille de client souscripteur.</t>
  </si>
  <si>
    <t>Construction de la base d'apprentissage pour les deux scores : 
- Un score d'efficacité du recouvrement de l'impayé par le client à 30 jours.
- Un score d'auto régularisation du recouvrement de l'impayé par le client à 90 jours.
Développement de deux modèles de machine learning liés à ces deux scores.
Environnement technique : 
- PySpark
- Databricks</t>
  </si>
  <si>
    <t>Office national des forets</t>
  </si>
  <si>
    <t>Mission interne</t>
  </si>
  <si>
    <t>Modélisation et prévision de la qualité du bois</t>
  </si>
  <si>
    <t>La détermination de la qualité du bois, par le cubage, en forêt prend du temps et de l’énergie, c’est pourquoi chercher des moyens de prévoir la qualité du bois grâce à ses caractéristiques dendrométriques et géographiques est intéressant.</t>
  </si>
  <si>
    <t>Objectif : Création de modèles de prédiction dans le but de prédire la qualité du bois en fonction de ses caractéristiques géographiques et dendrométriques
•Récupération de données chez le client contenantles dimensions des bois ainsi que les risques auxquels ils sont soumis
•Géolocalisation des bois via des parcelles
•Sélectiondes modèles (arbres de décisions et régressions logistiques)
•Prédictionde la qualité du bois et de son usage future (emballage ou charpente)
•Utilisationde matrices de confusions pour valider les modèles
Compétences : Gestion de bases de données, Arbresde décisions, Régressions logistiques, R</t>
  </si>
  <si>
    <t>GENERALI</t>
  </si>
  <si>
    <t>Réassurance et Risques naturels</t>
  </si>
  <si>
    <t>Prédiction sinistralité tempête</t>
  </si>
  <si>
    <t>Chaque année, les tempêtes hivernales sont responsables de nombreux sinistres, avec un coût associé très important. Bien qu'il s'agisse principalement de sinistralité attritionnelle répartie sur l'année, certains événements se distinguent par leur ampleur.
L'objectif de Generali France est de prédire de tels événements afin d'anticiper les coûts et de déployer efficacement ses ressources, via un modèle de prédiction de la sinistralité tempête, de J-5 à J+2.</t>
  </si>
  <si>
    <t>Ce projet de Machine Learning, mené de l'exploration à la production, visait à transformer des données météorologiques brutes (ECMWF) en un outil d'aide à la décision. Les principales réalisations incluent :
* Analyse exploratoire et featureengineering pour identifier les facteurs météorologiques et géographiques les plus prédictifs de l'impact financier d'un événement.
* Développement et déploiement d'un modèle prédictif (R/Python) capable d'estimer les coûts à J-5, avec une mise à jour quotidienne jusqu'à J+2.
* Conception d'un livrable de data-visualisation (cartographies) pour communiquer de manière claire et actionnable les résultats aux directions métiers.
* Contribution directe à la stratégie de tarification, les outputs du modèle étant exploités par les équipes pricing pour affiner les produits et construire un nouveau zonier de risque.</t>
  </si>
  <si>
    <t>Directeur</t>
  </si>
  <si>
    <t>CACF  SOFINCO</t>
  </si>
  <si>
    <t>Direction Crédit</t>
  </si>
  <si>
    <t>Octroi et Lutte contre la Fraude</t>
  </si>
  <si>
    <t>Sofinco, Business Unit de Crédit Agricole Consumer Finance et l’un des leaders du crédit à la consommation en France, a lancé en 2020 plusieurs programmes de modernisation de ses parcours client dont son octroi de crédit et sa lutte contre la Fraude.</t>
  </si>
  <si>
    <t>Modélisation des scores d’octroi en méthodes classiques (logistique) et avancées (machine learning) :
•Refonte des modèles d’octroi de crédit au service du développement commercial et de la rentabilité
•Développement et implémentation de modèles « Big Data » : nouvelles données / nouvelles méthodologie
Optimisation des parcours clients d’octroi de crédit Particuliers :
•Déploiement d’outils de numérisation et d’automatisation de l’octroi de crédit
•Optimisation de ces outils par la valorisation de la Data
•Mise en place d’un pilotage de l’octroi de crédit par la rentabilité
Responsable du programme de lutte contre la fraude :
•Déploiement de nouveaux outils de lutte contre la fraude et refonte des process
•Amélioration du dispositif de pilotage de la lutte contre la fraude – KPI stratégiques et opérationnels
•Management et Renforcement des équipes opérationnels de lutte contre la fraude</t>
  </si>
  <si>
    <t>Crédit</t>
  </si>
  <si>
    <t>Challenge Data</t>
  </si>
  <si>
    <t>En mai 2024 se tenait la 5ème édition du Crédit Hackathon de CAPFM. 19 binômes de toutes les entités du groupe ont travaillé sur l’élaboration d’un modèle de prédiction du solde futur des clients à l’aide de données d’Open Banking. L’objectif était d’utiliser cette nouvelle source de données pour enrichir le processus d’acceptation client en évaluant la capacité de remboursement des clients.</t>
  </si>
  <si>
    <t>Cadrage du projet :
Le sujet impliquait de prédire le solde moyen au mois suivant des clients à l’aide d’un historique de 18 mois par une approche de régression. Sur la base de transactions en débit/crédit il a fallut créer de multiples features pour prendre en compte la saisonnalité, les habitudes de dépense, le nombre de passage à découvert et les revenus réguliers afin de prédire le plus précisément possible le solde des 16000 clients.  
Techniques : 
* Sélection de variables par Lasso, Ridge... 
* Random Forest, CatBoost, XGBoost Regression 
* Métriques : RMSE, RME, Signe de la matrice de confusion 
Logiciel utilisé : Python  
Livrables :
* Codes exécutables 
* Sortie d’un fichier Excel contenant les prédictions à soumettre</t>
  </si>
  <si>
    <t xml:space="preserve">Product AI Prompt Engineer </t>
  </si>
  <si>
    <t>WORLDLINE</t>
  </si>
  <si>
    <t>Merchant Services - Architectes</t>
  </si>
  <si>
    <t>Développement d'Assistant AI pour l'optimisation de la gestion documentaire</t>
  </si>
  <si>
    <t>Le projet s'inscrivait dans le cadre de l'optimisation de la gestion documentaire et de la recherche interne en mettant en place des solutions  l'IA Générative, notamment le Finetuning et la technologie RAG. Les systèmes actuels de l’entreprise présentaient plusieurs limitations, y compris une recherche d'informations peu intuitive et des contraintes liées au nombre de tokens des modèles de langage large. En réponse à ces défis, le projet se concentrait sur l'analyse approfondie des lacunes de ces systèmes et sur la création d'un assistant AI pour la documentation interne, dans le but d'améliorer la précision des résultats de recherche et de faciliter l'accès à l'information.</t>
  </si>
  <si>
    <t xml:space="preserve">1. Développement d'un système RAG :
* Conception d'un système optimisé utilisant Langchain et Faiss.
2. Finetuning de modèles IA :
* Recherche sur les méthodes de finetuning:  Exploration des techniques manuelles et automatisées de finetuning sur Vertex AI.
* Préparation des données: Acquisition et transformation des données au format JSONL 
* Evaluation des modèles: Tests et comparaison des performances de Bison et Gemini avec différents volumes de données (petites, moyennes et grandes quantités).
* Résultats: Bison a surpassé Gemini sur les données privées en termes de précision factuelle, mais l'augmentation de données a entraîné une diminution du niveau de détail technique.
* Exploitation de données variées:  Utilisation de jeux de données diversifiés pour affiner la performance et la robustesse des modèles.
3. Création d'un assistant IA pour la documentation interne :
* Assistant IA pour la documentation: création d'un outil intelligent explorant deux approches (Graph RAG et NaiveRAG) pour améliorer la recherche dans les documents internes.
* Résultats et affinement du système: Obtention d'un temps de réponse moyen de 10 secondes et d'un taux de pertinence des réponses de 80% sur un ensemble de 100 requêtes, avec une amélioration continue de la précision via l'optimisation des prompts et l'intégration de sources de données internes et externes.
4. Présentation régulière des Avancées en Méthode Agile
* Communication transparente des résultats et des progrès, des défis et des ajustements, avec une vulgarisation claire pour les non-experts en IA.
</t>
  </si>
  <si>
    <t>Product AI Prompt Engineer</t>
  </si>
  <si>
    <t>Merchant Services - Hackathon</t>
  </si>
  <si>
    <t>AI-API Integration Assistant</t>
  </si>
  <si>
    <t>Le besoin d'améliorer l'interaction des clients avec les API de Worldline est devenu apparent. Les clients avaient du mal à intégrer efficacement ces APIs dans leurs applications, en raison d'une documentation parfois complexe et de la nécessité de tester des cas d'erreur spécifiques. Ce constat a conduit à la création d'un assistant d'intégration basé sur l'intelligence artificielle, destiné à simplifier le processus d'intégration des APIs en fournissant des exemples d'appels, en simulant des erreurs, et en facilitant l'accès à des environnements de test.</t>
  </si>
  <si>
    <t>1. Définition du problème client :
* Identification des défis rencontrés par les utilisateurs de l'API Worldline, notamment dans la compréhension et le test des appels API, ainsi que la gestion des erreurs.
2. Proposition d'une solution :
* Développement d'un assistant IA pour simplifier l'intégration des APIs de Worldline, fournir des exemples d'appels, simuler des erreurs et offrir un environnement de test intuitif.
3. Conception d'une interface utilisateur :
* Création d'une interface en deux parties pour gérer les transactions et les réponses, permettant aux utilisateurs de soumettre des requêtes et de recevoir des réponses explicatives en JSON.
4. Développement de prompts IA :
* Rédaction d'instructions pour le modèle IA afin qu'il puisse générer des requêtes API et des réponses simulées en fonction des demandes spécifiques des utilisateurs.
5. Phase de tests des requêtes API :
* Exécution de scénarios de test variés, incluant des cas simples, complexes et des erreurs simulées pour valider la robustesse et la fiabilité de l'outil.
* Taux de réussite :  L'assistant a généré des requêtes API correctes dans 90 % des cas, pour les scénarios simples et complexes.
* Taux de détection d'erreurs : L'assistant a correctement simulé et expliqué 90 % des erreurs courantes
6. Validation de la solution :
* Vérification que l'assistant produit des résultats précis, conformes aux attentes, avec des explications claires et compréhensibles pour les utilisateurs.</t>
  </si>
  <si>
    <t>Ingénieure en santé numérique</t>
  </si>
  <si>
    <t>Behit</t>
  </si>
  <si>
    <t>Développement d'un Algorithme de Prédiction du Risque NSSI</t>
  </si>
  <si>
    <t>Le projet visait à développer un modèle de machine learning pour prédire les risques de comportements d’automutilation non suicidaires (NSSI). Ce projet répondait à une préoccupation croissante sur l'augmentation de NSSI, soulignant la nécessité d'interventions précoces et adaptées. Le modèle visait à analyser les émotions des patients, mesurées en pourcentage, afin de classifier le risque d'automutilation à partir de données collectées via une application mobile. Basé sur des articles scientifiques de référence,le projet a nécessité rigueur et capacité d'adaptation à des problématiques sensibles et complexes.</t>
  </si>
  <si>
    <t>1. Préparation et traitement des données :
* Analyse d'un ensemble de données constitué de 2135 enregistrements issus de 64 individus. 
* Nettoyage des données
2. Gestion des données déséquilibrées :
* Application des techniques d'undersampling (NearMiss)
3. Modélisation et prédiction :
* Développement d'un modèle de classification en utilisant l'algorithme de Gradient Boosting Classifier avec la bibliothèque Scikit-learnen Python. 
* Application de la méthode GridSearchCV pour optimiser les hyperparamètres du modèle
4. Évaluation des modèles :
* Évaluation de la performance du modèle en calculant des métriques : précision, sensibilité et spécificité. 
* Élaboration d'une matrice de confusion pour visualiser les résultats
* Sensibilité de détection des cas de risque d'automutilation à  88%, surpassant les 65% rapportés dans la littérature.
5. Présentation des résultats : 
* Présentation des résultats devant les équipes IT et un public non expert, avec des explications des concepts techniques de manière simple et accessible, en veillant à rendre l’information pertinente et compréhensible pour chacun.</t>
  </si>
  <si>
    <t>Ministère de l'Economie</t>
  </si>
  <si>
    <t>Détection de fraude fiscale immobilière</t>
  </si>
  <si>
    <t>La fraude fiscale sur le marché immobilier, notamment la fraude liée aux plus-values, représente un enjeu majeur dans la lutte contre l’évasion fiscale. Par exemple, la sous-évaluation d’un bien immobilier lors de sa revente permet de réduire artificiellement l’imposition sur les plus-values, entraînant un manque à gagner significatif pour l’État. Pour répondre à cette problématique, j’ai développé et implémenté des modèles de data science afin d’identifier ce type de fraude.</t>
  </si>
  <si>
    <t>Objectif : Développer des solutions basées sur la data science pour identifier les transactions suspectes liées à la sous-évaluation des biens immobiliers
* Implémentation de modèles de data science
* Utilisation de modèles de séries temporelles pour analyser les tendances du marché et détecter des anomalies
* dans les transactions
* Implémentation de Facebook Prophet pour réaliser des prédictions intégrant la saisonnalité et les spécificités
* régionales du marché immobilier français
* Détection de transactions suspectes et création d’outils pour appuyer les services fiscaux dans leurs enquêtes
Compétences : Programmation en Python pour l'analyse de données et la création de modèles prédictifs, Compréhension de sujets complexes liés à la fiscalité immobilière et à la fraude fiscale, Analyse et traitement de données massives issues du marché immobilier, Adaptation de concepts théoriques pour résoudre des problématiques concrètes</t>
  </si>
  <si>
    <t>BUSINESS ANALYST &amp; PROJECT MANAGER</t>
  </si>
  <si>
    <t>CA Indosuez Wealth (Asset Management)</t>
  </si>
  <si>
    <t>Risk &amp; Compliance</t>
  </si>
  <si>
    <t>DEVELOPMENT OF A GENAI SOLUTION</t>
  </si>
  <si>
    <t>In order to streamline their Compliance Monitoring Programme (CMP) we worked on a solution for the CCO of CA Indosuez Wealth (Asset Management).
At the same time, we worked with a European Financial Regulator to develop a solution for them to assess their positioning compared to other European Financial Regulators on various subjects</t>
  </si>
  <si>
    <t>* Acted as a bridge between the developers and the client to better explain what was expected from the solutions my colleagues were developing;
* Defined the scope of the CMP, considering the types of regulated activities the firm intends to carry out;
* Ensure the solution aligns with the CCO’s requirements and business needs;
* Work with the European Financial Regulator to understand their assessment needs.</t>
  </si>
  <si>
    <t>Direction de la Conformité</t>
  </si>
  <si>
    <t>Scénarios LCB-FT - Machine Learning</t>
  </si>
  <si>
    <t>À la suite d’une revue menée par l’ACPR, la Direction de la Sécurité Financière de La Banque Postale a engagé un programme de mise en conformité, visant à renforcer son dispositif de Lutte contre le Blanchiment de Capitaux et le Financement du Terrorisme (LCB-FT), avec une échéance fixée au 30 juin 2025.</t>
  </si>
  <si>
    <t>* Développement et optimisation d’algorithmes de détection du blanchiment de capitaux et  du financement du terrorisme.
* Retour d'audit de modèles de détection d'anomalie Isolation Forest</t>
  </si>
  <si>
    <t>YVES ROCHER</t>
  </si>
  <si>
    <t>Direction data Marketing</t>
  </si>
  <si>
    <t>Création d'un outil de classification de retour client.</t>
  </si>
  <si>
    <t>La mission vise à développer un outil automatisé d'analyse des retours clients pour détecter le mécontentement et évaluer la performance du portefeuille produit, en collaboration étroite avec l’équipe Marketing. Cet outil permet d'améliorer la réactivité et l'efficacité des équipes en charge du produit, en fournissant des insights précieux sur les tendances et les avis des clients.</t>
  </si>
  <si>
    <t>1. Implémentation d’un modèle de NLP : Un modèle de traitement du langage naturel (NLP) a été mis en place pour identifier et classifier automatiquement les avis négatifs. Cela permet de détecter rapidement les signaux de mécontentement parmi les retours clients.
2. Utilisation du clustering : Le clustering a été utilisé pour segmenter les retours clients et détecter les tendances récurrentes. Cette technique permet de mieux comprendre les motifs et les préoccupations des clients.
3. Automatisation des processus d’analyse : Les processus d'analyse ont été automatisés, réduisant significativement le temps de traitement des retours clients et facilitant leur exploitation par les équipes métier. Cette automatisation permet de gagner en efficacité et en précision.
4. Présentation régulière des insights : Des insights ont été régulièrement présentés aux équipes Marketing, permettant d’ajuster la stratégie produit en fonction des tendances clients. Cette collaboration étroite assure une adaptation rapide aux besoins et attentes des clients.
Outils utilisés :
* Python : Pour le développement des modèles et l'analyse des données.
* SQL : Pour la gestion et la structuration des données.
* Vertex AI (BARD) : Pour la création et le déploiement des modèles NLP.
* Looker Studio : Pour la visualisation et la présentation des insights.
Méthodes appliquées :
* NLP (Natural Language Processing) : Pour l'analyse automatique des avis clients.
* Clustering : Pour la segmentation des retours clients et la détection des tendances.
* Automatisation de workflows : Pour réduire le temps de traitement et améliorer l'efficacité des processus d'analyse.</t>
  </si>
  <si>
    <t xml:space="preserve">Data scientist </t>
  </si>
  <si>
    <t>AVRIL</t>
  </si>
  <si>
    <t>Direction Actuariat</t>
  </si>
  <si>
    <t>Développement d’un modèle prédictif de sinistralité</t>
  </si>
  <si>
    <t>La mission se concentre sur le développement d'un modèle prédictif de sinistralité basé sur l'analyse des comportements de conduite. L'objectif principal est d'optimiser la tarification des contrats d'assurance pour les jeunes conducteurs, qui présentent souvent des risques plus élevés en raison de leur manque d'expérience. En utilisant des données télématiques issues des trajets, cette mission cherche à identifier les comportements à risque et à ajuster la grille tarifaire pour réduire le risque d'indemnisation.</t>
  </si>
  <si>
    <t>Réalisations clés :
1. Analyse et structuration des données télématiques : Les données provenant des trajets des conducteurs ont été collectées et structurées pour identifier les comportements à risque. Cette étape est essentielle pour comprendre les habitudes de conduite qui peuvent conduire à des accidents.
2. Développement et entraînement du modèle de classification supervisée : Un modèle de classification supervisée a été développé pour prédire la probabilité d'accident en fonction des habitudes de conduite des jeunes conducteurs.
3. Comparaison des performances des algorithmes : Plusieurs algorithmes ont été évalués, notamment XGBoost, RandomForest et CNN (réseaux de neurones convolutifs), pour optimiser la précision des prédictions. Cette comparaison permet de sélectionner le modèle le plus performant.
4. Interprétation des résultats et recommandations : Les résultats obtenus ont été interprétés pour fournir des recommandations visant à ajuster la grille tarifaire. L'objectif est de minimiser le risque d'indemnisation en adaptant les tarifs en fonction des comportements de conduite identifiés.
Outils utilisés :
* Python : Pour le développement des modèles et l'analyse des données.
* SQL : Pour la gestion et la structuration des données télématiques.
Méthodes appliquées :
* Classification supervisée : Utilisation des algorithmes XGBoost et RandomForest.
* Réseaux de neurones (CNN) : Pour améliorer la précision des prédictions en analysant les comportements de conduite.</t>
  </si>
  <si>
    <t>Data Scientist / Analyst</t>
  </si>
  <si>
    <t>GROUPE SOCIETE GENERALE</t>
  </si>
  <si>
    <t xml:space="preserve">IRB/FCC Financial Crime </t>
  </si>
  <si>
    <t>Amélioration des systèmes de règles métiers de détection de fraude (scenarios) et déploiement d’un modèle de Machine Learning sur plusieurs entités. Square a aidé au déploiement et au monitoring du modèle, en parallèle des travaux de recalibration et d’optimisation des scenarios existants. Mise en place de contrôles pour améliorer la couverture de risque (transactions cryptos, nouveaux schémas de fraude etc.). Ces travaux ont permis des économies de ressources dans l’investigation des alertes.</t>
  </si>
  <si>
    <t xml:space="preserve">- Recalibration en continue des scenarios de détection à l'aide d'outil statistiques in-house.
- Monitoring des métriques de performances des outils de détection sur différentes entités AFMO. 
- Déploiement du modèle de détection sur l'entité KB (République Tchèque).
- Documentation des travaux pour revue par le département Model Risk Management.
- Préparation et planification de la mise en production et du monitoring.
- Méthodologie de développement collaboratif (utilisation git/push).
- Contexte international en anglais (entité basé en Roumanie).
Langage : Python / PySpark
Environnement : Foundry (plateforme de développement et de déploiement de data science)
</t>
  </si>
  <si>
    <t>DATA SCIENTIST</t>
  </si>
  <si>
    <t>Groupe BPCE</t>
  </si>
  <si>
    <t>DIRECTION DATA BANQUES &amp; CAISSES</t>
  </si>
  <si>
    <t>Stratégie de prospections prédictives basées sur les signaux clients</t>
  </si>
  <si>
    <t>Conception et déploiement d’applications de prospection commerciale, visant à analyser les profils clients et à détecter des signaux d’événements de vie de la clientèle particulière et professionnelle en vue d’une prospection bancaire ciblée et personnalisée.</t>
  </si>
  <si>
    <t>ACTIONS
* Développements logiciels intégrés à une architecture distribuée de données massives (Clusters Hadoop HDFS, Hive, Spark) conduits en méthodologie agile sous la coordination des Product Owners et chefs de projets, en lien étroit avec la Direction Data du Groupe et les parties prenantes métiers
* Versionning des projets (Git, BitBucket)
* Requêtage, analyse et traitement de données massives et distribuées, construction de features, statistiques descriptives, recherche de structures inhérentes aux données
* Modélisations statistiques, segmentations de profils clients, modélisation de la profitabilité des prospects
* Optimisation d'hyperparamètres, et évaluation des modèles de machine learning, production automatisée de rapports d’explicabilité des résultats
* Création d’indicateurs pour le monitoring des dérives (data drift, concept drift) et mise en place de systèmes d’alerte
* Automatisation des pipelines de traitements, de monitoring et d’alertes.
‌
RESULTATS
* Mise en place de pipelines automatisés, du traitement et modélisation des données, à la mise à disposition des résultats aux établissements régionaux via la plateforme SAS
* Augmentation moyenne de +8,5% de souscriptions de produits d’épargne dans les établissements pilotes</t>
  </si>
  <si>
    <t>Audits qualité et restructuration des développements data &amp; Machine Learning</t>
  </si>
  <si>
    <t>Audits de bases de code, optimisations et restructurations de projets de machine learning dans le cadre d'une migration cloud (GCP) et du renforcement de la conformité aux cadres RGPD (ISO 27001) et AIA (ISO 42001)</t>
  </si>
  <si>
    <t>ACTIONS
* Audits et revues de code, analyses statiques, dynamiques et profilages des traitements
* Évaluation de la complétude fonctionnelle des projets, des défauts de conception (non-respect des normes et bonnes pratiques, comportements erratiques du code), des modélisations (choix des modèles, fuites de données)
* Sensibilisations aux risques associés à certains traitements (conformité RGPD, AIA, traitements intrusifs ou biaisés)
* Planification de roadmaps et rationalisation des travaux de remise niveau des projets pré-migration
* Refactorisation de code, mise en module, gestion de versions et maintenance évolutive
RESULTATS
* Conception d’une procédure de bonnes pratiques, d'auto-évaluation de la qualité de code et de processus ritualisés de développements et revues de code à l'attention des Data Scientists et Data Engineers du groupe
* Production d’une documentation de référence à l’échelle groupe
* Animation de webinaires de présentation et de sensibilisation réunissant l’ensemble des Data Scientists du groupe, afin de favoriser l’appropriation des nouveaux standards et d’en ancrer les usages dans les équipes</t>
  </si>
  <si>
    <t xml:space="preserve">Développeur </t>
  </si>
  <si>
    <t>Direction Risque Groupe - PilMod</t>
  </si>
  <si>
    <t>Data Scientist - IAGEN</t>
  </si>
  <si>
    <t>Mission réalisée au sein de la Direction Risque Groupe d’un grand établissement bancaire français.
Dans un contexte de forte exigence réglementaire et de production annuelle d’un rapport structurant de plus de 300 pages, la direction souhaitait explorer les apports de l’IA Générative afin d’automatiser la pré-rédaction des sections narratives et d’optimiser la consolidation documentaire.
L’objectif du projet était de concevoir un POC d’architecture RAG (Retrieval-Augmented Generation) capable :
* d’exploiter un corpus documentaire hétérogène (politiques, procédures, comptes rendus, analyses),
* de structurer l’information selon le plan du rapport,
* de générer automatiquement une première version complète du document,
* tout en garantissant traçabilité, cohérence et maîtrise du risque d’hallucination.
Le projet s’inscrivait dans une dynamique d’innovation IA en environnement bancaire régulé, avec une collaboration étroite entre équipes Data et experts métier Risque.</t>
  </si>
  <si>
    <t>En tant que Data Scientist, j’ai contribué à la conception et au développement d’un système d’IA Générative basé sur une architecture RAG avancée.
Principales réalisations :
* Construction et structuration du corpus documentaire
* Mise en place d’un chunking intelligent basé sur la logique métier (sections, titres, règles)
* Conception d’une stratégie d’indexation avec Qdrant (vector database)
* Implémentation d’une recherche hybride (dense embeddings + BM25)
* Gestion avancée des métadonnées (auteur, date, entité, périmètre)
* Orchestration via LlamaIndex et LangChain (Python)
* Benchmark comparatif multi-LLMs (OpenAI, Gemini, Claude)
* Développement de prompts spécialisés par section avec gestion hiérarchique du contexte
* Génération automatisée des sections narratives et tableaux
* Mise en œuvre d’une génération par chapitre et par niveau afin de maîtriser la mémoire documentaire
* Développement d’un POC applicatif (JS / HTML) pour permettre l’usage par les équipes métier
La solution permet la génération automatisée d’un draft complet du rapport, ensuite relu, enrichi et validé par les experts Risque.</t>
  </si>
  <si>
    <t>Risque</t>
  </si>
  <si>
    <t>Déploiement d’une solution d’IA GEN pour l’automatisation des tests des modèles de risque de crédit</t>
  </si>
  <si>
    <t>Emma a réalisé une mission d'une durée de 2 mois au sein de la direction RISQ à la Société Générale en modélisation (RISQ/MDL/MOD). Le département RISQ-MDL-Modélisation est en charge de développer, implémenter et maintenir la modélisation et l'évaluation des risques de la banque. Sa mission porte sur le développement d’une solution intelligence artificiel générative dont l’objectif est d'automatiser les tests de premier niveau des modélisateurs de risque de crédit.</t>
  </si>
  <si>
    <t>À la suite d’une reprise de mission, Emma a été chargée de finaliser le projet en cours. L’objectif était de concevoir et de développer une solution d’intelligence artificielle, afin d’améliorer de manière significative l’efficacité opérationnelle dans la réalisation des projets de modélisation du risque de crédit. Ce projet à pour objectif d'automatiser des tests jusque-là réalisés manuellement par les modélisateurs. Elle a travaillé en étroite collaboration avec les équipes métiers et les data scientists afin de prendre en main les différents cas d’usage, d’améliorer la solution existante et de lever les points bloquants.
Objectifs :
- Comprendre les enjeux et besoins métiers
- Développer et amélioration de la solution d’intelligence artificielle répondant aux différentes cas d’usage identifier :
- Contrôle de cohérence de la méthodologie décrite dans la documentation avec les standards internes.
- Audit du niveau de commentaire des codes
- Vérification de l'existence des imports et exports dans les codes.
- Audit de l’intégrité et de la performance des codes.
- Contrôle de cohérence de la méthodologie implémentée dans les codes avec les standards internes
- Audit de l’exhaustivité et de la clarté de l’objectif des codes.
- Documenter et communiquer les travaux et résultats
Réalisation :
- Analyse et compréhension des besoins métiers dans le cadre de projets d’intelligence artificielle générative.
- Fusion des six modules existants et développement d’une interface utilisateur unifiée.
- Migration des outils depuis les API SocGenAI vers les services Azure.
- Documentation projet détaillant les choix techniques, la fusion des modules, l’interface utilisateur, les axes d’améliorations, les prochaines étapes, l’identification des points bloquants.</t>
  </si>
  <si>
    <t>Consultant data et transformation IA</t>
  </si>
  <si>
    <t>Pluralisme est une entreprise spécialisée dans la veille et l’analyse des temps de parole médiatiques à l’aide de l’intelligence artificielle. Dans le cadre du développement de ses modèles de reconnaissance vocale et faciale, l’entreprise souhaitait constituer une base de données unifiée, fiable et structurée pour l’entraînement et la validation de ses algorithmes. L’objectif était d’améliorer la qualité et la diversité des données d’apprentissage, tout en garantissant leur cohérence, traçabilité et conformité avec les exigences techniques et éthiques du traitement audiovisuel automatisé.</t>
  </si>
  <si>
    <t>Direction technique</t>
  </si>
  <si>
    <t>Data et transformation IA</t>
  </si>
  <si>
    <t>* Audit et diagnostic de la donnée : identification des freins à l'entraînement des modèles (dispersion des sources, hétérogénéité des formats et défaut de traçabilité).
* Cadrage de la stratégie Data-IA : définition des critères de qualité, des volumes cibles et conception d'une architecture centralisée pour les flux médias (TV, radio, web).
* Normalisation et automatisation : pilotage de la collecte et de la structuration des flux pour garantir l'interopérabilité des données avec les algorithmes de Machine Learning.
* Enrichissement par labellisation : mise en place de processus de catégorisation semi-automatique des métadonnées pour optimiser la précision des modèles d'analyse.
* Optimisation de la Data Prep : création d’une base unifiée et scalable permettant de réduire significativement les temps de préparation des données.
* Pérennisation et gouvernance : établissement d’un cadre durable pour l'exploitation des actifs informationnels et le développement de futurs cas d'usage en IA.</t>
  </si>
  <si>
    <t>Référente fonctionnelle</t>
  </si>
  <si>
    <t>DSI des Fonctions Corporate</t>
  </si>
  <si>
    <t>IA &amp; Transformation Digitale du Pilotage Financier</t>
  </si>
  <si>
    <t>Fatoumata a réalisé sa mission au sein de GCOO/CFT, la DSI de référence des directions centrales du groupe Société Générale, qui rassemble plus de 3000 collaborateurs répartis entre Paris, Bucarest, Bangalore, Luxembourg, le Canada et les États‑Unis. Intégrée au centre de services CFT/COO, en charge du pilotage des opérations, de la transformation et du parcours collaborateur, elle a évolué dans un environnement dynamique et international. Elle y pilote et fait évoluer les outils de monitoring stratégiques de la DSI, en assurant la gouvernance utilisateurs, la qualité des données et la traduction des besoins métiers en solutions opérationnelles.</t>
  </si>
  <si>
    <t>Enjeu stratégique 
Fatoumata a participer à industrialiser la prévision financière via un modèle prédictif  fiable de Landing en alignant Finance, Data Science et IT autour d’un périmètre fonctionnel clair et de données maîtrisées.
Rôle et positionnement 
Elle occupe le rôle de référente métier, garantissant la cohérence budgétaire, l’interprétation métier des données et la validation des hypothèses de modélisation. Elle assure l’interface entre les équipes Data Science, Finance et IT, et participe activement aux instances de gouvernance.
Contributions clés
* Définition du périmètre fonctionnel et des règles budgétaires intégrées au modèle.
* Analyse des processus existants, identification des métriques critiques et des drivers d’écarts.
* Exploration et fiabilisation des données sources (TDM, Staff Plan, Landing Plan), détection des incohérences et décisions structurantes (périmètre de référence, priorisation Bottom‑Up, règles d’exclusion).
* Contribution aux décisions liées au MVP, aux critères de performance, à la roadmap et à la gestion des risques (qualité data, cohérence métier, dépendances IT).
Impact
Accélération du développement du modèle, réduction des risques liés à la qualité des données et fondations solides pour l’industrialisation de la prévision financière.</t>
  </si>
  <si>
    <t>Critères</t>
  </si>
  <si>
    <t>Centralité</t>
  </si>
  <si>
    <t>0 = IA quasi-absente / mention prospective</t>
  </si>
  <si>
    <t>1 = un chantier/levier parmi d'autres</t>
  </si>
  <si>
    <t>2 = workstream majeur</t>
  </si>
  <si>
    <t>3 = objet même de la mission</t>
  </si>
  <si>
    <t>Profondeur technique</t>
  </si>
  <si>
    <t>0 = simple mention / acculturation générale</t>
  </si>
  <si>
    <t>1 = pilotage, cadrage, stratégie (sans main technique)</t>
  </si>
  <si>
    <t>2 = conception fonctionnelle rapprochée (PO IA, specs, prompt eng., tests de modèles)</t>
  </si>
  <si>
    <t>3 = build réel : modèle, algo, RAG, pipeline, app, librairie</t>
  </si>
  <si>
    <t>Maturité</t>
  </si>
  <si>
    <t>0 = prospective / idéation / vision</t>
  </si>
  <si>
    <t>1 = cadrage / diagnostic / feuille de route</t>
  </si>
  <si>
    <t>2 = POC / pilote / outil livré / expérimentation</t>
  </si>
  <si>
    <t>3 = industrialisation / production / déploiement à l'échelle</t>
  </si>
  <si>
    <t>Indice final</t>
  </si>
  <si>
    <t>total ≤ 2</t>
  </si>
  <si>
    <t>3–4, OU total ≥5 avec profondeur technique = 0</t>
  </si>
  <si>
    <t>total ≥ 5 ET profondeur technique ≥ 1</t>
  </si>
  <si>
    <t>total ≥ 6 ET profondeur technique = 3 (build IA réel)</t>
  </si>
  <si>
    <t>Garde-fous lexicaux (tracés dans la colonne flags)</t>
  </si>
  <si>
    <t>G1 : ≥2 signaux techniques + verbe de build : profondeur technique relevée à ≥2.</t>
  </si>
  <si>
    <t>G3 : production/industrialisation/échelle : maturité relevée à ≥2.</t>
  </si>
  <si>
    <t>G4 : cadre prospectif + IA peu citée : maturité plafonnée à 1.</t>
  </si>
  <si>
    <t>Pluralisme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</si>
</sst>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scheme val="minor"/>
    </font>
    <font>
      <sz val="12"/>
      <color rgb="FFFFFFFF"/>
      <name val="Aptos Narrow"/>
    </font>
    <font>
      <sz val="12"/>
      <color theme="1"/>
      <name val="Aptos Narrow"/>
    </font>
    <font>
      <sz val="12"/>
      <color theme="1"/>
      <name val="Arial"/>
    </font>
    <font>
      <b/>
      <sz val="10"/>
      <color rgb="FFFFFFFF"/>
      <name val="Arial"/>
    </font>
    <font>
      <sz val="10"/>
      <color theme="1"/>
      <name val="Arial"/>
    </font>
    <font>
      <i/>
      <sz val="9"/>
      <color rgb="FF808080"/>
      <name val="Arial"/>
    </font>
    <font>
      <b/>
      <sz val="10"/>
      <color rgb="FF000000"/>
      <name val="Arial"/>
    </font>
    <font>
      <b/>
      <sz val="12"/>
      <color rgb="FFFFFFFF"/>
      <name val="Aptos Narrow"/>
    </font>
    <font>
      <sz val="12"/>
      <name val="Aptos Narrow"/>
    </font>
    <font>
      <sz val="12"/>
      <color theme="1"/>
      <name val="Aptos Narrow"/>
      <scheme val="minor"/>
    </font>
    <font>
      <b/>
      <sz val="14"/>
      <color rgb="FF1F3864"/>
      <name val="Arial"/>
    </font>
    <font>
      <b/>
      <u/>
      <sz val="11"/>
      <color rgb="FF000000"/>
      <name val="Arial"/>
    </font>
    <font>
      <b/>
      <sz val="10"/>
      <color rgb="FF1F3864"/>
      <name val="Arial"/>
    </font>
    <font>
      <sz val="9"/>
      <color rgb="FF000000"/>
      <name val="Arial"/>
    </font>
    <font>
      <sz val="9"/>
      <color rgb="FF808080"/>
      <name val="Arial"/>
    </font>
    <font>
      <sz val="9"/>
      <color rgb="FFC00000"/>
      <name val="Arial"/>
    </font>
    <font>
      <b/>
      <sz val="11"/>
      <color rgb="FF000000"/>
      <name val="Arial"/>
    </font>
    <font>
      <b/>
      <sz val="9"/>
      <color rgb="FFC00000"/>
      <name val="Arial"/>
    </font>
  </fonts>
  <fills count="11">
    <fill>
      <patternFill patternType="none"/>
    </fill>
    <fill>
      <patternFill patternType="gray125"/>
    </fill>
    <fill>
      <patternFill patternType="solid">
        <fgColor theme="9"/>
        <bgColor theme="9"/>
      </patternFill>
    </fill>
    <fill>
      <patternFill patternType="solid">
        <fgColor rgb="FF1F3864"/>
        <bgColor rgb="FF1F3864"/>
      </patternFill>
    </fill>
    <fill>
      <patternFill patternType="solid">
        <fgColor theme="0"/>
        <bgColor theme="0"/>
      </patternFill>
    </fill>
    <fill>
      <patternFill patternType="solid">
        <fgColor rgb="FFD9F2D0"/>
        <bgColor rgb="FFD9F2D0"/>
      </patternFill>
    </fill>
    <fill>
      <patternFill patternType="solid">
        <fgColor rgb="FF5B9BD5"/>
        <bgColor rgb="FF5B9BD5"/>
      </patternFill>
    </fill>
    <fill>
      <patternFill patternType="solid">
        <fgColor rgb="FFBDD7EE"/>
        <bgColor rgb="FFBDD7EE"/>
      </patternFill>
    </fill>
    <fill>
      <patternFill patternType="solid">
        <fgColor rgb="FFD9D9D9"/>
        <bgColor rgb="FFD9D9D9"/>
      </patternFill>
    </fill>
    <fill>
      <patternFill patternType="solid">
        <fgColor rgb="FFC9A227"/>
        <bgColor rgb="FFC9A227"/>
      </patternFill>
    </fill>
    <fill>
      <patternFill patternType="solid">
        <fgColor rgb="FF1F4E78"/>
        <bgColor rgb="FF1F4E78"/>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9">
    <xf numFmtId="0" fontId="0" fillId="0" borderId="0" xfId="0"/>
    <xf numFmtId="0" fontId="1" fillId="2" borderId="1" xfId="0" applyFont="1" applyFill="1" applyBorder="1" applyAlignment="1">
      <alignment vertical="top" wrapText="1"/>
    </xf>
    <xf numFmtId="0" fontId="2" fillId="0" borderId="0" xfId="0" applyFont="1" applyAlignment="1">
      <alignment wrapText="1"/>
    </xf>
    <xf numFmtId="0" fontId="3" fillId="0" borderId="0" xfId="0" applyFont="1" applyAlignment="1">
      <alignment wrapText="1"/>
    </xf>
    <xf numFmtId="0" fontId="2" fillId="0" borderId="0" xfId="0" applyFont="1"/>
    <xf numFmtId="0" fontId="3" fillId="0" borderId="0" xfId="0" applyFont="1" applyAlignment="1">
      <alignment horizontal="center" vertical="center" wrapText="1"/>
    </xf>
    <xf numFmtId="0" fontId="3" fillId="0" borderId="0" xfId="0" applyFont="1" applyAlignment="1">
      <alignment horizontal="center" vertical="center"/>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2" fillId="5" borderId="1" xfId="0" applyFont="1" applyFill="1" applyBorder="1" applyAlignment="1">
      <alignment vertical="top" wrapText="1"/>
    </xf>
    <xf numFmtId="22" fontId="2" fillId="5" borderId="1" xfId="0" applyNumberFormat="1" applyFont="1" applyFill="1" applyBorder="1" applyAlignment="1">
      <alignment vertical="top" wrapText="1"/>
    </xf>
    <xf numFmtId="0" fontId="2" fillId="0" borderId="0" xfId="0" applyFont="1" applyAlignment="1">
      <alignment horizontal="center" vertical="center" wrapText="1"/>
    </xf>
    <xf numFmtId="0" fontId="2" fillId="0" borderId="0" xfId="0" applyFont="1" applyAlignment="1">
      <alignment horizontal="center" vertical="center"/>
    </xf>
    <xf numFmtId="0" fontId="4" fillId="6" borderId="1" xfId="0" applyFont="1" applyFill="1" applyBorder="1" applyAlignment="1">
      <alignment horizontal="center"/>
    </xf>
    <xf numFmtId="0" fontId="5" fillId="0" borderId="0" xfId="0" applyFont="1" applyAlignment="1">
      <alignment horizontal="center"/>
    </xf>
    <xf numFmtId="0" fontId="6" fillId="0" borderId="0" xfId="0" applyFont="1"/>
    <xf numFmtId="0" fontId="2" fillId="4" borderId="1" xfId="0" applyFont="1" applyFill="1" applyBorder="1" applyAlignment="1">
      <alignment vertical="top" wrapText="1"/>
    </xf>
    <xf numFmtId="22" fontId="2" fillId="4" borderId="1" xfId="0" applyNumberFormat="1" applyFont="1" applyFill="1" applyBorder="1" applyAlignment="1">
      <alignment vertical="top" wrapText="1"/>
    </xf>
    <xf numFmtId="0" fontId="2" fillId="0" borderId="0" xfId="0" applyFont="1" applyAlignment="1">
      <alignment vertical="center" wrapText="1"/>
    </xf>
    <xf numFmtId="0" fontId="7" fillId="7" borderId="1" xfId="0" applyFont="1" applyFill="1" applyBorder="1" applyAlignment="1">
      <alignment horizontal="center"/>
    </xf>
    <xf numFmtId="0" fontId="7" fillId="8" borderId="1" xfId="0" applyFont="1" applyFill="1" applyBorder="1" applyAlignment="1">
      <alignment horizontal="center"/>
    </xf>
    <xf numFmtId="0" fontId="3" fillId="4" borderId="1" xfId="0" applyFont="1" applyFill="1" applyBorder="1" applyAlignment="1">
      <alignment vertical="top" wrapText="1"/>
    </xf>
    <xf numFmtId="0" fontId="4" fillId="9" borderId="1" xfId="0" applyFont="1" applyFill="1" applyBorder="1" applyAlignment="1">
      <alignment horizontal="center"/>
    </xf>
    <xf numFmtId="0" fontId="2" fillId="0" borderId="0" xfId="0" applyFont="1" applyAlignment="1">
      <alignment vertical="top" wrapText="1"/>
    </xf>
    <xf numFmtId="0" fontId="10" fillId="0" borderId="0" xfId="0" applyFont="1"/>
    <xf numFmtId="0" fontId="3" fillId="5" borderId="1" xfId="0" applyFont="1" applyFill="1" applyBorder="1" applyAlignment="1">
      <alignment vertical="top" wrapText="1"/>
    </xf>
    <xf numFmtId="0" fontId="11" fillId="0" borderId="0" xfId="0" applyFont="1" applyAlignment="1">
      <alignment vertical="top" wrapText="1"/>
    </xf>
    <xf numFmtId="0" fontId="12" fillId="0" borderId="0" xfId="0" applyFont="1" applyAlignment="1">
      <alignment vertical="top" wrapText="1"/>
    </xf>
    <xf numFmtId="0" fontId="13" fillId="0" borderId="0" xfId="0" applyFont="1" applyAlignment="1">
      <alignment vertical="top" wrapText="1"/>
    </xf>
    <xf numFmtId="0" fontId="14" fillId="0" borderId="0" xfId="0" applyFont="1" applyAlignment="1">
      <alignment vertical="top" wrapText="1"/>
    </xf>
    <xf numFmtId="0" fontId="7" fillId="0" borderId="0" xfId="0" applyFont="1" applyAlignment="1">
      <alignment vertical="top" wrapText="1"/>
    </xf>
    <xf numFmtId="0" fontId="15" fillId="0" borderId="0" xfId="0" applyFont="1" applyAlignment="1">
      <alignment vertical="top" wrapText="1"/>
    </xf>
    <xf numFmtId="0" fontId="16" fillId="0" borderId="0" xfId="0" applyFont="1" applyAlignment="1">
      <alignment vertical="top" wrapText="1"/>
    </xf>
    <xf numFmtId="0" fontId="17" fillId="0" borderId="0" xfId="0" applyFont="1" applyAlignment="1">
      <alignment vertical="top" wrapText="1"/>
    </xf>
    <xf numFmtId="0" fontId="6" fillId="0" borderId="0" xfId="0" applyFont="1" applyAlignment="1">
      <alignment vertical="top" wrapText="1"/>
    </xf>
    <xf numFmtId="0" fontId="18" fillId="0" borderId="0" xfId="0" applyFont="1" applyAlignment="1">
      <alignment vertical="top" wrapText="1"/>
    </xf>
    <xf numFmtId="0" fontId="8" fillId="10" borderId="2" xfId="0" applyFont="1" applyFill="1" applyBorder="1" applyAlignment="1">
      <alignment horizontal="center" vertical="center"/>
    </xf>
    <xf numFmtId="0" fontId="9" fillId="0" borderId="3" xfId="0" applyFont="1" applyBorder="1"/>
    <xf numFmtId="0" fontId="9"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00"/>
  <sheetViews>
    <sheetView tabSelected="1" zoomScale="70" zoomScaleNormal="70" workbookViewId="0">
      <pane ySplit="1" topLeftCell="A147" activePane="bottomLeft" state="frozen"/>
      <selection pane="bottomLeft" activeCell="C150" sqref="C150"/>
    </sheetView>
  </sheetViews>
  <sheetFormatPr baseColWidth="10" defaultColWidth="11.25" defaultRowHeight="15" customHeight="1" x14ac:dyDescent="0.4"/>
  <cols>
    <col min="1" max="1" width="11.75" customWidth="1"/>
    <col min="2" max="2" width="13.75" customWidth="1"/>
    <col min="3" max="3" width="26.75" customWidth="1"/>
    <col min="4" max="4" width="18.6640625" customWidth="1"/>
    <col min="5" max="5" width="75" customWidth="1"/>
    <col min="6" max="6" width="90" customWidth="1"/>
    <col min="7" max="7" width="15.33203125" customWidth="1"/>
    <col min="8" max="8" width="15.9140625" bestFit="1" customWidth="1"/>
    <col min="9" max="9" width="5.6640625" customWidth="1"/>
    <col min="10" max="10" width="11.4140625" customWidth="1"/>
    <col min="11" max="11" width="34.4140625" customWidth="1"/>
    <col min="12" max="12" width="10.4140625" customWidth="1"/>
    <col min="13" max="13" width="65.75" customWidth="1"/>
    <col min="14" max="14" width="43.75" customWidth="1"/>
    <col min="15" max="15" width="40.75" customWidth="1"/>
    <col min="16" max="24" width="10.4140625" customWidth="1"/>
    <col min="25" max="25" width="11.08203125" customWidth="1"/>
    <col min="26" max="26" width="16" customWidth="1"/>
    <col min="27" max="29" width="10" customWidth="1"/>
    <col min="30" max="30" width="9" customWidth="1"/>
    <col min="31" max="31" width="42" customWidth="1"/>
  </cols>
  <sheetData>
    <row r="1" spans="1:31" ht="15.75" customHeight="1" x14ac:dyDescent="0.4">
      <c r="A1" s="1" t="s">
        <v>0</v>
      </c>
      <c r="B1" s="1" t="s">
        <v>1</v>
      </c>
      <c r="C1" s="1" t="s">
        <v>2</v>
      </c>
      <c r="D1" s="1" t="s">
        <v>3</v>
      </c>
      <c r="E1" s="1" t="s">
        <v>4</v>
      </c>
      <c r="F1" s="1" t="s">
        <v>5</v>
      </c>
      <c r="G1" s="1" t="s">
        <v>6</v>
      </c>
      <c r="H1" s="1" t="s">
        <v>7</v>
      </c>
      <c r="I1" s="1" t="s">
        <v>8</v>
      </c>
      <c r="J1" s="1" t="s">
        <v>9</v>
      </c>
      <c r="K1" s="1" t="s">
        <v>10</v>
      </c>
      <c r="L1" s="1" t="s">
        <v>11</v>
      </c>
      <c r="M1" s="2" t="s">
        <v>11</v>
      </c>
      <c r="N1" s="3" t="s">
        <v>12</v>
      </c>
      <c r="O1" s="3" t="s">
        <v>13</v>
      </c>
      <c r="P1" s="4" t="s">
        <v>11</v>
      </c>
      <c r="Q1" s="5" t="s">
        <v>14</v>
      </c>
      <c r="R1" s="6" t="s">
        <v>15</v>
      </c>
      <c r="S1" s="4" t="s">
        <v>11</v>
      </c>
      <c r="T1" s="4" t="s">
        <v>11</v>
      </c>
      <c r="U1" s="4" t="s">
        <v>11</v>
      </c>
      <c r="V1" s="4" t="s">
        <v>11</v>
      </c>
      <c r="W1" s="4" t="s">
        <v>11</v>
      </c>
      <c r="X1" s="4" t="s">
        <v>11</v>
      </c>
      <c r="Z1" s="7" t="s">
        <v>16</v>
      </c>
      <c r="AA1" s="7" t="s">
        <v>17</v>
      </c>
      <c r="AB1" s="7" t="s">
        <v>18</v>
      </c>
      <c r="AC1" s="7" t="s">
        <v>19</v>
      </c>
      <c r="AD1" s="7" t="s">
        <v>20</v>
      </c>
      <c r="AE1" s="8"/>
    </row>
    <row r="2" spans="1:31" ht="66" customHeight="1" x14ac:dyDescent="0.4">
      <c r="A2" s="9" t="s">
        <v>21</v>
      </c>
      <c r="B2" s="9" t="s">
        <v>22</v>
      </c>
      <c r="C2" s="9" t="s">
        <v>23</v>
      </c>
      <c r="D2" s="9" t="s">
        <v>24</v>
      </c>
      <c r="E2" s="9" t="s">
        <v>25</v>
      </c>
      <c r="F2" s="9" t="s">
        <v>26</v>
      </c>
      <c r="G2" s="10">
        <v>45352</v>
      </c>
      <c r="H2" s="10">
        <v>46325</v>
      </c>
      <c r="I2" s="9">
        <v>32</v>
      </c>
      <c r="J2" s="9" t="s">
        <v>27</v>
      </c>
      <c r="K2" s="9" t="s">
        <v>28</v>
      </c>
      <c r="L2" s="9"/>
      <c r="M2" s="2" t="e">
        <f t="array" aca="1" ref="M2" ca="1">"---Descriptif mission--- "&amp;CHAR(10)&amp;_xludf.textjoin(CHAR(10),FALSE,$A$1:$K$1&amp;": "&amp;A2:K2)</f>
        <v>#NAME?</v>
      </c>
      <c r="N2" s="2" t="str">
        <f ca="1">IFERROR(__xludf.DUMMYFUNCTION("AI($N$1,M2)"),"#NAME?")</f>
        <v>#NAME?</v>
      </c>
      <c r="O2" s="2" t="str">
        <f ca="1">IFERROR(__xludf.DUMMYFUNCTION("AI($O$1,M2)"),"#NAME?")</f>
        <v>#NAME?</v>
      </c>
      <c r="Q2" s="11" t="str">
        <f ca="1">IFERROR(__xludf.DUMMYFUNCTION("REGEXEXTRACT(N2,"" [0-9] "")"),"#NAME?")</f>
        <v>#NAME?</v>
      </c>
      <c r="R2" s="12" t="str">
        <f ca="1">IFERROR(__xludf.DUMMYFUNCTION("REGEXEXTRACT(O2,"" [ABCDEF] "")"),"#NAME?")</f>
        <v>#NAME?</v>
      </c>
      <c r="Z2" s="13" t="s">
        <v>29</v>
      </c>
      <c r="AA2" s="14">
        <v>3</v>
      </c>
      <c r="AB2" s="14">
        <v>1</v>
      </c>
      <c r="AC2" s="14">
        <v>1</v>
      </c>
      <c r="AD2" s="14">
        <v>5</v>
      </c>
      <c r="AE2" s="15"/>
    </row>
    <row r="3" spans="1:31" ht="97.5" customHeight="1" x14ac:dyDescent="0.4">
      <c r="A3" s="16" t="s">
        <v>30</v>
      </c>
      <c r="B3" s="16" t="s">
        <v>31</v>
      </c>
      <c r="C3" s="16" t="s">
        <v>32</v>
      </c>
      <c r="D3" s="16" t="s">
        <v>33</v>
      </c>
      <c r="E3" s="16" t="s">
        <v>34</v>
      </c>
      <c r="F3" s="16" t="s">
        <v>35</v>
      </c>
      <c r="G3" s="17">
        <v>45810</v>
      </c>
      <c r="H3" s="17">
        <v>46203</v>
      </c>
      <c r="I3" s="16">
        <v>13</v>
      </c>
      <c r="J3" s="16"/>
      <c r="K3" s="16" t="s">
        <v>36</v>
      </c>
      <c r="L3" s="16"/>
      <c r="M3" s="2" t="e">
        <f t="array" aca="1" ref="M3" ca="1">"---Descriptif mission--- "&amp;CHAR(10)&amp;_xludf.textjoin(CHAR(10),FALSE,$A$1:$K$1&amp;": "&amp;A3:K3)</f>
        <v>#NAME?</v>
      </c>
      <c r="N3" s="18" t="str">
        <f ca="1">IFERROR(__xludf.DUMMYFUNCTION("AI($N$1,M3)"),"#NAME?")</f>
        <v>#NAME?</v>
      </c>
      <c r="O3" s="18" t="str">
        <f ca="1">IFERROR(__xludf.DUMMYFUNCTION("AI($O$1,M3)"),"#NAME?")</f>
        <v>#NAME?</v>
      </c>
      <c r="Q3" s="11" t="str">
        <f ca="1">IFERROR(__xludf.DUMMYFUNCTION("REGEXEXTRACT(N3,"" [0-9] "")"),"#NAME?")</f>
        <v>#NAME?</v>
      </c>
      <c r="R3" s="12" t="str">
        <f ca="1">IFERROR(__xludf.DUMMYFUNCTION("REGEXEXTRACT(O3,"" [ABCDEF] "")"),"#NAME?")</f>
        <v>#NAME?</v>
      </c>
      <c r="Z3" s="13" t="s">
        <v>29</v>
      </c>
      <c r="AA3" s="14">
        <v>3</v>
      </c>
      <c r="AB3" s="14">
        <v>2</v>
      </c>
      <c r="AC3" s="14">
        <v>2</v>
      </c>
      <c r="AD3" s="14">
        <v>7</v>
      </c>
      <c r="AE3" s="15"/>
    </row>
    <row r="4" spans="1:31" ht="207.75" customHeight="1" x14ac:dyDescent="0.4">
      <c r="A4" s="9" t="s">
        <v>21</v>
      </c>
      <c r="B4" s="9" t="s">
        <v>37</v>
      </c>
      <c r="C4" s="9" t="s">
        <v>38</v>
      </c>
      <c r="D4" s="9" t="s">
        <v>39</v>
      </c>
      <c r="E4" s="9" t="s">
        <v>40</v>
      </c>
      <c r="F4" s="9" t="s">
        <v>41</v>
      </c>
      <c r="G4" s="10">
        <v>45789</v>
      </c>
      <c r="H4" s="10">
        <v>46142</v>
      </c>
      <c r="I4" s="9">
        <v>12</v>
      </c>
      <c r="J4" s="9"/>
      <c r="K4" s="9" t="s">
        <v>42</v>
      </c>
      <c r="L4" s="9"/>
      <c r="M4" s="2" t="e">
        <f t="array" aca="1" ref="M4" ca="1">"---Descriptif mission--- "&amp;CHAR(10)&amp;_xludf.textjoin(CHAR(10),FALSE,$A$1:$K$1&amp;": "&amp;A4:K4)</f>
        <v>#NAME?</v>
      </c>
      <c r="N4" s="18" t="str">
        <f ca="1">IFERROR(__xludf.DUMMYFUNCTION("AI($N$1,M4)"),"#NAME?")</f>
        <v>#NAME?</v>
      </c>
      <c r="O4" s="18" t="str">
        <f ca="1">IFERROR(__xludf.DUMMYFUNCTION("AI($O$1,M4)"),"#NAME?")</f>
        <v>#NAME?</v>
      </c>
      <c r="Q4" s="11" t="str">
        <f ca="1">IFERROR(__xludf.DUMMYFUNCTION("REGEXEXTRACT(N4,"" [0-9] "")"),"#NAME?")</f>
        <v>#NAME?</v>
      </c>
      <c r="R4" s="12" t="str">
        <f ca="1">IFERROR(__xludf.DUMMYFUNCTION("REGEXEXTRACT(O4,"" [ABCDEF] "")"),"#NAME?")</f>
        <v>#NAME?</v>
      </c>
      <c r="Z4" s="19" t="s">
        <v>43</v>
      </c>
      <c r="AA4" s="14">
        <v>2</v>
      </c>
      <c r="AB4" s="14">
        <v>1</v>
      </c>
      <c r="AC4" s="14">
        <v>1</v>
      </c>
      <c r="AD4" s="14">
        <v>4</v>
      </c>
      <c r="AE4" s="15"/>
    </row>
    <row r="5" spans="1:31" ht="207.75" customHeight="1" x14ac:dyDescent="0.4">
      <c r="A5" s="16" t="s">
        <v>21</v>
      </c>
      <c r="B5" s="16" t="s">
        <v>44</v>
      </c>
      <c r="C5" s="16" t="s">
        <v>45</v>
      </c>
      <c r="D5" s="16" t="s">
        <v>46</v>
      </c>
      <c r="E5" s="16" t="s">
        <v>47</v>
      </c>
      <c r="F5" s="16" t="s">
        <v>48</v>
      </c>
      <c r="G5" s="17">
        <v>45797</v>
      </c>
      <c r="H5" s="17">
        <v>46136</v>
      </c>
      <c r="I5" s="16">
        <v>12</v>
      </c>
      <c r="J5" s="16" t="s">
        <v>49</v>
      </c>
      <c r="K5" s="16" t="s">
        <v>50</v>
      </c>
      <c r="L5" s="16"/>
      <c r="M5" s="2" t="e">
        <f t="array" aca="1" ref="M5" ca="1">"---Descriptif mission--- "&amp;CHAR(10)&amp;_xludf.textjoin(CHAR(10),FALSE,$A$1:$K$1&amp;": "&amp;A5:K5)</f>
        <v>#NAME?</v>
      </c>
      <c r="N5" s="18" t="str">
        <f ca="1">IFERROR(__xludf.DUMMYFUNCTION("AI($N$1,M5)"),"#NAME?")</f>
        <v>#NAME?</v>
      </c>
      <c r="O5" s="18" t="str">
        <f ca="1">IFERROR(__xludf.DUMMYFUNCTION("AI($O$1,M5)"),"#NAME?")</f>
        <v>#NAME?</v>
      </c>
      <c r="Q5" s="11" t="str">
        <f ca="1">IFERROR(__xludf.DUMMYFUNCTION("REGEXEXTRACT(N5,"" [0-9] "")"),"#NAME?")</f>
        <v>#NAME?</v>
      </c>
      <c r="R5" s="12" t="str">
        <f ca="1">IFERROR(__xludf.DUMMYFUNCTION("REGEXEXTRACT(O5,"" [ABCDEF] "")"),"#NAME?")</f>
        <v>#NAME?</v>
      </c>
      <c r="Z5" s="19" t="s">
        <v>43</v>
      </c>
      <c r="AA5" s="14">
        <v>1</v>
      </c>
      <c r="AB5" s="14">
        <v>1</v>
      </c>
      <c r="AC5" s="14">
        <v>2</v>
      </c>
      <c r="AD5" s="14">
        <v>4</v>
      </c>
      <c r="AE5" s="15"/>
    </row>
    <row r="6" spans="1:31" ht="333.75" customHeight="1" x14ac:dyDescent="0.4">
      <c r="A6" s="9" t="s">
        <v>51</v>
      </c>
      <c r="B6" s="9" t="s">
        <v>52</v>
      </c>
      <c r="C6" s="9" t="s">
        <v>53</v>
      </c>
      <c r="D6" s="9" t="s">
        <v>54</v>
      </c>
      <c r="E6" s="9" t="s">
        <v>55</v>
      </c>
      <c r="F6" s="9" t="s">
        <v>56</v>
      </c>
      <c r="G6" s="10">
        <v>45943</v>
      </c>
      <c r="H6" s="10">
        <v>46080</v>
      </c>
      <c r="I6" s="9">
        <v>5</v>
      </c>
      <c r="J6" s="9"/>
      <c r="K6" s="9" t="s">
        <v>57</v>
      </c>
      <c r="L6" s="9"/>
      <c r="M6" s="2" t="e">
        <f t="array" aca="1" ref="M6" ca="1">"---Descriptif mission--- "&amp;CHAR(10)&amp;_xludf.textjoin(CHAR(10),FALSE,$A$1:$K$1&amp;": "&amp;A6:K6)</f>
        <v>#NAME?</v>
      </c>
      <c r="N6" s="18" t="str">
        <f ca="1">IFERROR(__xludf.DUMMYFUNCTION("AI($N$1,M6)"),"#NAME?")</f>
        <v>#NAME?</v>
      </c>
      <c r="O6" s="18" t="str">
        <f ca="1">IFERROR(__xludf.DUMMYFUNCTION("AI($O$1,M6)"),"#NAME?")</f>
        <v>#NAME?</v>
      </c>
      <c r="Q6" s="11" t="str">
        <f ca="1">IFERROR(__xludf.DUMMYFUNCTION("REGEXEXTRACT(N6,"" [0-9] "")"),"#NAME?")</f>
        <v>#NAME?</v>
      </c>
      <c r="R6" s="12" t="str">
        <f ca="1">IFERROR(__xludf.DUMMYFUNCTION("REGEXEXTRACT(O6,"" [ABCDEF] "")"),"#NAME?")</f>
        <v>#NAME?</v>
      </c>
      <c r="Z6" s="20" t="s">
        <v>58</v>
      </c>
      <c r="AA6" s="14">
        <v>1</v>
      </c>
      <c r="AB6" s="14">
        <v>0</v>
      </c>
      <c r="AC6" s="14">
        <v>0</v>
      </c>
      <c r="AD6" s="14">
        <v>1</v>
      </c>
      <c r="AE6" s="15"/>
    </row>
    <row r="7" spans="1:31" ht="408.75" customHeight="1" x14ac:dyDescent="0.4">
      <c r="A7" s="16" t="s">
        <v>59</v>
      </c>
      <c r="B7" s="16" t="s">
        <v>60</v>
      </c>
      <c r="C7" s="16" t="s">
        <v>61</v>
      </c>
      <c r="D7" s="16" t="s">
        <v>62</v>
      </c>
      <c r="E7" s="21" t="s">
        <v>63</v>
      </c>
      <c r="F7" s="16" t="s">
        <v>64</v>
      </c>
      <c r="G7" s="17">
        <v>45943</v>
      </c>
      <c r="H7" s="17">
        <v>46080</v>
      </c>
      <c r="I7" s="16">
        <v>5</v>
      </c>
      <c r="J7" s="16" t="s">
        <v>65</v>
      </c>
      <c r="K7" s="16" t="s">
        <v>66</v>
      </c>
      <c r="L7" s="16"/>
      <c r="M7" s="2" t="e">
        <f t="array" aca="1" ref="M7" ca="1">"---Descriptif mission--- "&amp;CHAR(10)&amp;_xludf.textjoin(CHAR(10),FALSE,$A$1:$K$1&amp;": "&amp;A7:K7)</f>
        <v>#NAME?</v>
      </c>
      <c r="N7" s="18" t="str">
        <f ca="1">IFERROR(__xludf.DUMMYFUNCTION("AI($N$1,M7)"),"#NAME?")</f>
        <v>#NAME?</v>
      </c>
      <c r="O7" s="18" t="str">
        <f ca="1">IFERROR(__xludf.DUMMYFUNCTION("AI($O$1,M7)"),"#NAME?")</f>
        <v>#NAME?</v>
      </c>
      <c r="Q7" s="11" t="str">
        <f ca="1">IFERROR(__xludf.DUMMYFUNCTION("REGEXEXTRACT(N7,"" [0-9] "")"),"#NAME?")</f>
        <v>#NAME?</v>
      </c>
      <c r="R7" s="12" t="str">
        <f ca="1">IFERROR(__xludf.DUMMYFUNCTION("REGEXEXTRACT(O7,"" [ABCDEF] "")"),"#NAME?")</f>
        <v>#NAME?</v>
      </c>
      <c r="Z7" s="20" t="s">
        <v>58</v>
      </c>
      <c r="AA7" s="14">
        <v>1</v>
      </c>
      <c r="AB7" s="14">
        <v>0</v>
      </c>
      <c r="AC7" s="14">
        <v>0</v>
      </c>
      <c r="AD7" s="14">
        <v>1</v>
      </c>
      <c r="AE7" s="15"/>
    </row>
    <row r="8" spans="1:31" ht="144.75" customHeight="1" x14ac:dyDescent="0.4">
      <c r="A8" s="9" t="s">
        <v>67</v>
      </c>
      <c r="B8" s="9" t="s">
        <v>68</v>
      </c>
      <c r="C8" s="9" t="s">
        <v>69</v>
      </c>
      <c r="D8" s="9" t="s">
        <v>70</v>
      </c>
      <c r="E8" s="9" t="s">
        <v>71</v>
      </c>
      <c r="F8" s="9" t="s">
        <v>72</v>
      </c>
      <c r="G8" s="10">
        <v>45545</v>
      </c>
      <c r="H8" s="10">
        <v>46022</v>
      </c>
      <c r="I8" s="9">
        <v>16</v>
      </c>
      <c r="J8" s="9" t="s">
        <v>65</v>
      </c>
      <c r="K8" s="9" t="s">
        <v>73</v>
      </c>
      <c r="L8" s="9"/>
      <c r="M8" s="2" t="e">
        <f t="array" aca="1" ref="M8" ca="1">"---Descriptif mission--- "&amp;CHAR(10)&amp;_xludf.textjoin(CHAR(10),FALSE,$A$1:$K$1&amp;": "&amp;A8:K8)</f>
        <v>#NAME?</v>
      </c>
      <c r="N8" s="18" t="str">
        <f ca="1">IFERROR(__xludf.DUMMYFUNCTION("AI($N$1,M8)"),"#NAME?")</f>
        <v>#NAME?</v>
      </c>
      <c r="O8" s="18" t="str">
        <f ca="1">IFERROR(__xludf.DUMMYFUNCTION("AI($O$1,M8)"),"#NAME?")</f>
        <v>#NAME?</v>
      </c>
      <c r="Q8" s="11" t="str">
        <f ca="1">IFERROR(__xludf.DUMMYFUNCTION("REGEXEXTRACT(N8,"" [0-9] "")"),"#NAME?")</f>
        <v>#NAME?</v>
      </c>
      <c r="R8" s="12" t="str">
        <f ca="1">IFERROR(__xludf.DUMMYFUNCTION("REGEXEXTRACT(O8,"" [ABCDEF] "")"),"#NAME?")</f>
        <v>#NAME?</v>
      </c>
      <c r="Z8" s="13" t="s">
        <v>29</v>
      </c>
      <c r="AA8" s="14">
        <v>3</v>
      </c>
      <c r="AB8" s="14">
        <v>2</v>
      </c>
      <c r="AC8" s="14">
        <v>3</v>
      </c>
      <c r="AD8" s="14">
        <v>8</v>
      </c>
      <c r="AE8" s="15"/>
    </row>
    <row r="9" spans="1:31" ht="223.5" customHeight="1" x14ac:dyDescent="0.4">
      <c r="A9" s="16" t="s">
        <v>74</v>
      </c>
      <c r="B9" s="16" t="s">
        <v>75</v>
      </c>
      <c r="C9" s="16" t="s">
        <v>76</v>
      </c>
      <c r="D9" s="16" t="s">
        <v>77</v>
      </c>
      <c r="E9" s="16" t="s">
        <v>78</v>
      </c>
      <c r="F9" s="16" t="s">
        <v>79</v>
      </c>
      <c r="G9" s="17">
        <v>45663</v>
      </c>
      <c r="H9" s="17">
        <v>46022</v>
      </c>
      <c r="I9" s="16">
        <v>12</v>
      </c>
      <c r="J9" s="16"/>
      <c r="K9" s="16" t="s">
        <v>80</v>
      </c>
      <c r="L9" s="16"/>
      <c r="M9" s="2" t="e">
        <f t="array" aca="1" ref="M9" ca="1">"---Descriptif mission--- "&amp;CHAR(10)&amp;_xludf.textjoin(CHAR(10),FALSE,$A$1:$K$1&amp;": "&amp;A9:K9)</f>
        <v>#NAME?</v>
      </c>
      <c r="N9" s="18" t="str">
        <f ca="1">IFERROR(__xludf.DUMMYFUNCTION("AI($N$1,M9)"),"#NAME?")</f>
        <v>#NAME?</v>
      </c>
      <c r="O9" s="18" t="str">
        <f ca="1">IFERROR(__xludf.DUMMYFUNCTION("AI($O$1,M9)"),"#NAME?")</f>
        <v>#NAME?</v>
      </c>
      <c r="Q9" s="11" t="str">
        <f ca="1">IFERROR(__xludf.DUMMYFUNCTION("REGEXEXTRACT(N9,"" [0-9] "")"),"#NAME?")</f>
        <v>#NAME?</v>
      </c>
      <c r="R9" s="12" t="str">
        <f ca="1">IFERROR(__xludf.DUMMYFUNCTION("REGEXEXTRACT(O9,"" [ABCDEF] "")"),"#NAME?")</f>
        <v>#NAME?</v>
      </c>
      <c r="Z9" s="13" t="s">
        <v>29</v>
      </c>
      <c r="AA9" s="14">
        <v>2</v>
      </c>
      <c r="AB9" s="14">
        <v>1</v>
      </c>
      <c r="AC9" s="14">
        <v>2</v>
      </c>
      <c r="AD9" s="14">
        <v>5</v>
      </c>
      <c r="AE9" s="15"/>
    </row>
    <row r="10" spans="1:31" ht="81.75" customHeight="1" x14ac:dyDescent="0.4">
      <c r="A10" s="9" t="s">
        <v>81</v>
      </c>
      <c r="B10" s="9" t="s">
        <v>82</v>
      </c>
      <c r="C10" s="9" t="s">
        <v>83</v>
      </c>
      <c r="D10" s="9" t="s">
        <v>84</v>
      </c>
      <c r="E10" s="9" t="s">
        <v>85</v>
      </c>
      <c r="F10" s="9" t="s">
        <v>86</v>
      </c>
      <c r="G10" s="10">
        <v>45299</v>
      </c>
      <c r="H10" s="10">
        <v>46022</v>
      </c>
      <c r="I10" s="9">
        <v>24</v>
      </c>
      <c r="J10" s="9"/>
      <c r="K10" s="9" t="s">
        <v>87</v>
      </c>
      <c r="L10" s="9"/>
      <c r="M10" s="2" t="e">
        <f t="array" aca="1" ref="M10" ca="1">"---Descriptif mission--- "&amp;CHAR(10)&amp;_xludf.textjoin(CHAR(10),FALSE,$A$1:$K$1&amp;": "&amp;A10:K10)</f>
        <v>#NAME?</v>
      </c>
      <c r="N10" s="18" t="str">
        <f ca="1">IFERROR(__xludf.DUMMYFUNCTION("AI($N$1,M10)"),"#NAME?")</f>
        <v>#NAME?</v>
      </c>
      <c r="O10" s="18" t="str">
        <f ca="1">IFERROR(__xludf.DUMMYFUNCTION("AI($O$1,M10)"),"#NAME?")</f>
        <v>#NAME?</v>
      </c>
      <c r="Q10" s="11" t="str">
        <f ca="1">IFERROR(__xludf.DUMMYFUNCTION("REGEXEXTRACT(N10,"" [0-9] "")"),"#NAME?")</f>
        <v>#NAME?</v>
      </c>
      <c r="R10" s="12" t="str">
        <f ca="1">IFERROR(__xludf.DUMMYFUNCTION("REGEXEXTRACT(O10,"" [ABCDEF] "")"),"#NAME?")</f>
        <v>#NAME?</v>
      </c>
      <c r="Z10" s="19" t="s">
        <v>43</v>
      </c>
      <c r="AA10" s="14">
        <v>1</v>
      </c>
      <c r="AB10" s="14">
        <v>1</v>
      </c>
      <c r="AC10" s="14">
        <v>1</v>
      </c>
      <c r="AD10" s="14">
        <v>3</v>
      </c>
      <c r="AE10" s="15"/>
    </row>
    <row r="11" spans="1:31" ht="396.75" customHeight="1" x14ac:dyDescent="0.4">
      <c r="A11" s="16" t="s">
        <v>88</v>
      </c>
      <c r="B11" s="16" t="s">
        <v>89</v>
      </c>
      <c r="C11" s="16" t="s">
        <v>90</v>
      </c>
      <c r="D11" s="16" t="s">
        <v>91</v>
      </c>
      <c r="E11" s="16" t="s">
        <v>92</v>
      </c>
      <c r="F11" s="16" t="s">
        <v>93</v>
      </c>
      <c r="G11" s="17">
        <v>45306</v>
      </c>
      <c r="H11" s="17">
        <v>46022</v>
      </c>
      <c r="I11" s="16">
        <v>24</v>
      </c>
      <c r="J11" s="16" t="s">
        <v>65</v>
      </c>
      <c r="K11" s="16" t="s">
        <v>94</v>
      </c>
      <c r="L11" s="16"/>
      <c r="M11" s="2" t="e">
        <f t="array" aca="1" ref="M11" ca="1">"---Descriptif mission--- "&amp;CHAR(10)&amp;_xludf.textjoin(CHAR(10),FALSE,$A$1:$K$1&amp;": "&amp;A11:K11)</f>
        <v>#NAME?</v>
      </c>
      <c r="N11" s="18" t="str">
        <f ca="1">IFERROR(__xludf.DUMMYFUNCTION("AI($N$1,M11)"),"#NAME?")</f>
        <v>#NAME?</v>
      </c>
      <c r="O11" s="18" t="str">
        <f ca="1">IFERROR(__xludf.DUMMYFUNCTION("AI($O$1,M11)"),"#NAME?")</f>
        <v>#NAME?</v>
      </c>
      <c r="Q11" s="11" t="str">
        <f ca="1">IFERROR(__xludf.DUMMYFUNCTION("REGEXEXTRACT(N11,"" [0-9] "")"),"#NAME?")</f>
        <v>#NAME?</v>
      </c>
      <c r="R11" s="12" t="str">
        <f ca="1">IFERROR(__xludf.DUMMYFUNCTION("REGEXEXTRACT(O11,"" [ABCDEF] "")"),"#NAME?")</f>
        <v>#NAME?</v>
      </c>
      <c r="Z11" s="13" t="s">
        <v>29</v>
      </c>
      <c r="AA11" s="14">
        <v>2</v>
      </c>
      <c r="AB11" s="14">
        <v>1</v>
      </c>
      <c r="AC11" s="14">
        <v>2</v>
      </c>
      <c r="AD11" s="14">
        <v>5</v>
      </c>
      <c r="AE11" s="15"/>
    </row>
    <row r="12" spans="1:31" ht="396.75" customHeight="1" x14ac:dyDescent="0.4">
      <c r="A12" s="9" t="s">
        <v>95</v>
      </c>
      <c r="B12" s="9" t="s">
        <v>75</v>
      </c>
      <c r="C12" s="9" t="s">
        <v>96</v>
      </c>
      <c r="D12" s="9" t="s">
        <v>97</v>
      </c>
      <c r="E12" s="9" t="s">
        <v>98</v>
      </c>
      <c r="F12" s="9" t="s">
        <v>99</v>
      </c>
      <c r="G12" s="10">
        <v>45292</v>
      </c>
      <c r="H12" s="10">
        <v>46022</v>
      </c>
      <c r="I12" s="9">
        <v>24</v>
      </c>
      <c r="J12" s="9" t="s">
        <v>100</v>
      </c>
      <c r="K12" s="9" t="s">
        <v>101</v>
      </c>
      <c r="L12" s="9"/>
      <c r="M12" s="2" t="e">
        <f t="array" aca="1" ref="M12" ca="1">"---Descriptif mission--- "&amp;CHAR(10)&amp;_xludf.textjoin(CHAR(10),FALSE,$A$1:$K$1&amp;": "&amp;A12:K12)</f>
        <v>#NAME?</v>
      </c>
      <c r="N12" s="18" t="str">
        <f ca="1">IFERROR(__xludf.DUMMYFUNCTION("AI($N$1,M12)"),"#NAME?")</f>
        <v>#NAME?</v>
      </c>
      <c r="O12" s="18" t="str">
        <f ca="1">IFERROR(__xludf.DUMMYFUNCTION("AI($O$1,M12)"),"#NAME?")</f>
        <v>#NAME?</v>
      </c>
      <c r="Q12" s="11" t="str">
        <f ca="1">IFERROR(__xludf.DUMMYFUNCTION("REGEXEXTRACT(N12,"" [0-9] "")"),"#NAME?")</f>
        <v>#NAME?</v>
      </c>
      <c r="R12" s="12" t="str">
        <f ca="1">IFERROR(__xludf.DUMMYFUNCTION("REGEXEXTRACT(O12,"" [ABCDEF] "")"),"#NAME?")</f>
        <v>#NAME?</v>
      </c>
      <c r="Z12" s="13" t="s">
        <v>29</v>
      </c>
      <c r="AA12" s="14">
        <v>3</v>
      </c>
      <c r="AB12" s="14">
        <v>2</v>
      </c>
      <c r="AC12" s="14">
        <v>2</v>
      </c>
      <c r="AD12" s="14">
        <v>7</v>
      </c>
      <c r="AE12" s="15"/>
    </row>
    <row r="13" spans="1:31" ht="50.25" customHeight="1" x14ac:dyDescent="0.4">
      <c r="A13" s="16" t="s">
        <v>102</v>
      </c>
      <c r="B13" s="16" t="s">
        <v>103</v>
      </c>
      <c r="C13" s="16" t="s">
        <v>104</v>
      </c>
      <c r="D13" s="16" t="s">
        <v>105</v>
      </c>
      <c r="E13" s="16" t="s">
        <v>106</v>
      </c>
      <c r="F13" s="16" t="s">
        <v>106</v>
      </c>
      <c r="G13" s="17">
        <v>45733</v>
      </c>
      <c r="H13" s="17">
        <v>46015</v>
      </c>
      <c r="I13" s="16">
        <v>10</v>
      </c>
      <c r="J13" s="16"/>
      <c r="K13" s="16" t="s">
        <v>107</v>
      </c>
      <c r="L13" s="16"/>
      <c r="M13" s="2" t="e">
        <f t="array" aca="1" ref="M13" ca="1">"---Descriptif mission--- "&amp;CHAR(10)&amp;_xludf.textjoin(CHAR(10),FALSE,$A$1:$K$1&amp;": "&amp;A13:K13)</f>
        <v>#NAME?</v>
      </c>
      <c r="N13" s="18" t="str">
        <f ca="1">IFERROR(__xludf.DUMMYFUNCTION("AI($N$1,M13)"),"#NAME?")</f>
        <v>#NAME?</v>
      </c>
      <c r="O13" s="18" t="str">
        <f ca="1">IFERROR(__xludf.DUMMYFUNCTION("AI($O$1,M13)"),"#NAME?")</f>
        <v>#NAME?</v>
      </c>
      <c r="Q13" s="11" t="str">
        <f ca="1">IFERROR(__xludf.DUMMYFUNCTION("REGEXEXTRACT(N13,"" [0-9] "")"),"#NAME?")</f>
        <v>#NAME?</v>
      </c>
      <c r="R13" s="12" t="str">
        <f ca="1">IFERROR(__xludf.DUMMYFUNCTION("REGEXEXTRACT(O13,"" [ABCDEF] "")"),"#NAME?")</f>
        <v>#NAME?</v>
      </c>
      <c r="Z13" s="13" t="s">
        <v>29</v>
      </c>
      <c r="AA13" s="14">
        <v>3</v>
      </c>
      <c r="AB13" s="14">
        <v>2</v>
      </c>
      <c r="AC13" s="14">
        <v>2</v>
      </c>
      <c r="AD13" s="14">
        <v>7</v>
      </c>
      <c r="AE13" s="15"/>
    </row>
    <row r="14" spans="1:31" ht="207.75" customHeight="1" x14ac:dyDescent="0.4">
      <c r="A14" s="9" t="s">
        <v>108</v>
      </c>
      <c r="B14" s="9" t="s">
        <v>109</v>
      </c>
      <c r="C14" s="9" t="s">
        <v>110</v>
      </c>
      <c r="D14" s="9" t="s">
        <v>111</v>
      </c>
      <c r="E14" s="9" t="s">
        <v>112</v>
      </c>
      <c r="F14" s="9" t="s">
        <v>113</v>
      </c>
      <c r="G14" s="10">
        <v>45425</v>
      </c>
      <c r="H14" s="10">
        <v>46014</v>
      </c>
      <c r="I14" s="9">
        <v>20</v>
      </c>
      <c r="J14" s="9" t="s">
        <v>114</v>
      </c>
      <c r="K14" s="9" t="s">
        <v>115</v>
      </c>
      <c r="L14" s="9"/>
      <c r="M14" s="2" t="e">
        <f t="array" aca="1" ref="M14" ca="1">"---Descriptif mission--- "&amp;CHAR(10)&amp;_xludf.textjoin(CHAR(10),FALSE,$A$1:$K$1&amp;": "&amp;A14:K14)</f>
        <v>#NAME?</v>
      </c>
      <c r="N14" s="18" t="str">
        <f ca="1">IFERROR(__xludf.DUMMYFUNCTION("AI($N$1,M14)"),"#NAME?")</f>
        <v>#NAME?</v>
      </c>
      <c r="O14" s="18" t="str">
        <f ca="1">IFERROR(__xludf.DUMMYFUNCTION("AI($O$1,M14)"),"#NAME?")</f>
        <v>#NAME?</v>
      </c>
      <c r="Q14" s="11" t="str">
        <f ca="1">IFERROR(__xludf.DUMMYFUNCTION("REGEXEXTRACT(N14,"" [0-9] "")"),"#NAME?")</f>
        <v>#NAME?</v>
      </c>
      <c r="R14" s="12" t="str">
        <f ca="1">IFERROR(__xludf.DUMMYFUNCTION("REGEXEXTRACT(O14,"" [ABCDEF] "")"),"#NAME?")</f>
        <v>#NAME?</v>
      </c>
      <c r="Z14" s="13" t="s">
        <v>29</v>
      </c>
      <c r="AA14" s="14">
        <v>3</v>
      </c>
      <c r="AB14" s="14">
        <v>1</v>
      </c>
      <c r="AC14" s="14">
        <v>2</v>
      </c>
      <c r="AD14" s="14">
        <v>6</v>
      </c>
      <c r="AE14" s="15"/>
    </row>
    <row r="15" spans="1:31" ht="160.5" customHeight="1" x14ac:dyDescent="0.4">
      <c r="A15" s="16" t="s">
        <v>116</v>
      </c>
      <c r="B15" s="16" t="s">
        <v>117</v>
      </c>
      <c r="C15" s="16" t="s">
        <v>118</v>
      </c>
      <c r="D15" s="16" t="s">
        <v>116</v>
      </c>
      <c r="E15" s="16" t="s">
        <v>119</v>
      </c>
      <c r="F15" s="16" t="s">
        <v>120</v>
      </c>
      <c r="G15" s="17">
        <v>45635</v>
      </c>
      <c r="H15" s="17">
        <v>46003</v>
      </c>
      <c r="I15" s="16">
        <v>13</v>
      </c>
      <c r="J15" s="16"/>
      <c r="K15" s="16" t="s">
        <v>121</v>
      </c>
      <c r="L15" s="16"/>
      <c r="M15" s="2" t="e">
        <f t="array" aca="1" ref="M15" ca="1">"---Descriptif mission--- "&amp;CHAR(10)&amp;_xludf.textjoin(CHAR(10),FALSE,$A$1:$K$1&amp;": "&amp;A15:K15)</f>
        <v>#NAME?</v>
      </c>
      <c r="N15" s="18" t="str">
        <f ca="1">IFERROR(__xludf.DUMMYFUNCTION("AI($N$1,M15)"),"#NAME?")</f>
        <v>#NAME?</v>
      </c>
      <c r="O15" s="18" t="str">
        <f ca="1">IFERROR(__xludf.DUMMYFUNCTION("AI($O$1,M15)"),"#NAME?")</f>
        <v>#NAME?</v>
      </c>
      <c r="Q15" s="11" t="str">
        <f ca="1">IFERROR(__xludf.DUMMYFUNCTION("REGEXEXTRACT(N15,"" [0-9] "")"),"#NAME?")</f>
        <v>#NAME?</v>
      </c>
      <c r="R15" s="12" t="str">
        <f ca="1">IFERROR(__xludf.DUMMYFUNCTION("REGEXEXTRACT(O15,"" [ABCDEF] "")"),"#NAME?")</f>
        <v>#NAME?</v>
      </c>
      <c r="Z15" s="19" t="s">
        <v>43</v>
      </c>
      <c r="AA15" s="14">
        <v>1</v>
      </c>
      <c r="AB15" s="14">
        <v>1</v>
      </c>
      <c r="AC15" s="14">
        <v>1</v>
      </c>
      <c r="AD15" s="14">
        <v>3</v>
      </c>
      <c r="AE15" s="15"/>
    </row>
    <row r="16" spans="1:31" ht="286.5" customHeight="1" x14ac:dyDescent="0.4">
      <c r="A16" s="9" t="s">
        <v>122</v>
      </c>
      <c r="B16" s="9" t="s">
        <v>123</v>
      </c>
      <c r="C16" s="9" t="s">
        <v>124</v>
      </c>
      <c r="D16" s="9" t="s">
        <v>125</v>
      </c>
      <c r="E16" s="9" t="s">
        <v>126</v>
      </c>
      <c r="F16" s="9" t="s">
        <v>127</v>
      </c>
      <c r="G16" s="10">
        <v>45761</v>
      </c>
      <c r="H16" s="10">
        <v>46003</v>
      </c>
      <c r="I16" s="9">
        <v>9</v>
      </c>
      <c r="J16" s="9"/>
      <c r="K16" s="9" t="s">
        <v>128</v>
      </c>
      <c r="L16" s="9"/>
      <c r="M16" s="2" t="e">
        <f t="array" aca="1" ref="M16" ca="1">"---Descriptif mission--- "&amp;CHAR(10)&amp;_xludf.textjoin(CHAR(10),FALSE,$A$1:$K$1&amp;": "&amp;A16:K16)</f>
        <v>#NAME?</v>
      </c>
      <c r="N16" s="18" t="str">
        <f ca="1">IFERROR(__xludf.DUMMYFUNCTION("AI($N$1,M16)"),"#NAME?")</f>
        <v>#NAME?</v>
      </c>
      <c r="O16" s="18" t="str">
        <f ca="1">IFERROR(__xludf.DUMMYFUNCTION("AI($O$1,M16)"),"#NAME?")</f>
        <v>#NAME?</v>
      </c>
      <c r="Q16" s="11" t="str">
        <f ca="1">IFERROR(__xludf.DUMMYFUNCTION("REGEXEXTRACT(N16,"" [0-9] "")"),"#NAME?")</f>
        <v>#NAME?</v>
      </c>
      <c r="R16" s="12" t="str">
        <f ca="1">IFERROR(__xludf.DUMMYFUNCTION("REGEXEXTRACT(O16,"" [ABCDEF] "")"),"#NAME?")</f>
        <v>#NAME?</v>
      </c>
      <c r="Z16" s="13" t="s">
        <v>29</v>
      </c>
      <c r="AA16" s="14">
        <v>3</v>
      </c>
      <c r="AB16" s="14">
        <v>1</v>
      </c>
      <c r="AC16" s="14">
        <v>3</v>
      </c>
      <c r="AD16" s="14">
        <v>7</v>
      </c>
      <c r="AE16" s="15"/>
    </row>
    <row r="17" spans="1:31" ht="113.25" customHeight="1" x14ac:dyDescent="0.4">
      <c r="A17" s="16" t="s">
        <v>129</v>
      </c>
      <c r="B17" s="16" t="s">
        <v>130</v>
      </c>
      <c r="C17" s="16" t="s">
        <v>131</v>
      </c>
      <c r="D17" s="16" t="s">
        <v>132</v>
      </c>
      <c r="E17" s="16" t="s">
        <v>133</v>
      </c>
      <c r="F17" s="16" t="s">
        <v>134</v>
      </c>
      <c r="G17" s="17">
        <v>45588</v>
      </c>
      <c r="H17" s="17">
        <v>45996</v>
      </c>
      <c r="I17" s="16">
        <v>15</v>
      </c>
      <c r="J17" s="16" t="s">
        <v>135</v>
      </c>
      <c r="K17" s="16" t="s">
        <v>136</v>
      </c>
      <c r="L17" s="16"/>
      <c r="M17" s="2" t="e">
        <f t="array" aca="1" ref="M17" ca="1">"---Descriptif mission--- "&amp;CHAR(10)&amp;_xludf.textjoin(CHAR(10),FALSE,$A$1:$K$1&amp;": "&amp;A17:K17)</f>
        <v>#NAME?</v>
      </c>
      <c r="N17" s="18" t="str">
        <f ca="1">IFERROR(__xludf.DUMMYFUNCTION("AI($N$1,M17)"),"#NAME?")</f>
        <v>#NAME?</v>
      </c>
      <c r="O17" s="18" t="str">
        <f ca="1">IFERROR(__xludf.DUMMYFUNCTION("AI($O$1,M17)"),"#NAME?")</f>
        <v>#NAME?</v>
      </c>
      <c r="Q17" s="11" t="str">
        <f ca="1">IFERROR(__xludf.DUMMYFUNCTION("REGEXEXTRACT(N17,"" [0-9] "")"),"#NAME?")</f>
        <v>#NAME?</v>
      </c>
      <c r="R17" s="12" t="str">
        <f ca="1">IFERROR(__xludf.DUMMYFUNCTION("REGEXEXTRACT(O17,"" [ABCDEF] "")"),"#NAME?")</f>
        <v>#NAME?</v>
      </c>
      <c r="Z17" s="19" t="s">
        <v>43</v>
      </c>
      <c r="AA17" s="14">
        <v>1</v>
      </c>
      <c r="AB17" s="14">
        <v>1</v>
      </c>
      <c r="AC17" s="14">
        <v>1</v>
      </c>
      <c r="AD17" s="14">
        <v>3</v>
      </c>
      <c r="AE17" s="15"/>
    </row>
    <row r="18" spans="1:31" ht="270.75" customHeight="1" x14ac:dyDescent="0.4">
      <c r="A18" s="9" t="s">
        <v>137</v>
      </c>
      <c r="B18" s="9" t="s">
        <v>138</v>
      </c>
      <c r="C18" s="9" t="s">
        <v>139</v>
      </c>
      <c r="D18" s="9" t="s">
        <v>140</v>
      </c>
      <c r="E18" s="9" t="s">
        <v>141</v>
      </c>
      <c r="F18" s="9" t="s">
        <v>142</v>
      </c>
      <c r="G18" s="10">
        <v>45427</v>
      </c>
      <c r="H18" s="10">
        <v>45961</v>
      </c>
      <c r="I18" s="9">
        <v>18</v>
      </c>
      <c r="J18" s="9" t="s">
        <v>143</v>
      </c>
      <c r="K18" s="9" t="s">
        <v>144</v>
      </c>
      <c r="L18" s="9"/>
      <c r="M18" s="2" t="e">
        <f t="array" aca="1" ref="M18" ca="1">"---Descriptif mission--- "&amp;CHAR(10)&amp;_xludf.textjoin(CHAR(10),FALSE,$A$1:$K$1&amp;": "&amp;A18:K18)</f>
        <v>#NAME?</v>
      </c>
      <c r="N18" s="18" t="str">
        <f ca="1">IFERROR(__xludf.DUMMYFUNCTION("AI($N$1,M18)"),"#NAME?")</f>
        <v>#NAME?</v>
      </c>
      <c r="O18" s="18" t="str">
        <f ca="1">IFERROR(__xludf.DUMMYFUNCTION("AI($O$1,M18)"),"#NAME?")</f>
        <v>#NAME?</v>
      </c>
      <c r="Q18" s="11" t="str">
        <f ca="1">IFERROR(__xludf.DUMMYFUNCTION("REGEXEXTRACT(N18,"" [0-9] "")"),"#NAME?")</f>
        <v>#NAME?</v>
      </c>
      <c r="R18" s="12" t="str">
        <f ca="1">IFERROR(__xludf.DUMMYFUNCTION("REGEXEXTRACT(O18,"" [ABCDEF] "")"),"#NAME?")</f>
        <v>#NAME?</v>
      </c>
      <c r="Z18" s="22" t="s">
        <v>145</v>
      </c>
      <c r="AA18" s="14">
        <v>3</v>
      </c>
      <c r="AB18" s="14">
        <v>3</v>
      </c>
      <c r="AC18" s="14">
        <v>3</v>
      </c>
      <c r="AD18" s="14">
        <v>9</v>
      </c>
      <c r="AE18" s="15"/>
    </row>
    <row r="19" spans="1:31" ht="318" customHeight="1" x14ac:dyDescent="0.4">
      <c r="A19" s="16" t="s">
        <v>146</v>
      </c>
      <c r="B19" s="16" t="s">
        <v>147</v>
      </c>
      <c r="C19" s="16" t="s">
        <v>148</v>
      </c>
      <c r="D19" s="16" t="s">
        <v>149</v>
      </c>
      <c r="E19" s="16" t="s">
        <v>150</v>
      </c>
      <c r="F19" s="16" t="s">
        <v>151</v>
      </c>
      <c r="G19" s="17">
        <v>45383</v>
      </c>
      <c r="H19" s="17">
        <v>45961</v>
      </c>
      <c r="I19" s="16">
        <v>19</v>
      </c>
      <c r="J19" s="16" t="s">
        <v>114</v>
      </c>
      <c r="K19" s="16" t="s">
        <v>152</v>
      </c>
      <c r="L19" s="16"/>
      <c r="M19" s="2" t="e">
        <f t="array" aca="1" ref="M19" ca="1">"---Descriptif mission--- "&amp;CHAR(10)&amp;_xludf.textjoin(CHAR(10),FALSE,$A$1:$K$1&amp;": "&amp;A19:K19)</f>
        <v>#NAME?</v>
      </c>
      <c r="N19" s="18" t="str">
        <f ca="1">IFERROR(__xludf.DUMMYFUNCTION("AI($N$1,M19)"),"#NAME?")</f>
        <v>#NAME?</v>
      </c>
      <c r="O19" s="18" t="str">
        <f ca="1">IFERROR(__xludf.DUMMYFUNCTION("AI($O$1,M19)"),"#NAME?")</f>
        <v>#NAME?</v>
      </c>
      <c r="Q19" s="11" t="str">
        <f ca="1">IFERROR(__xludf.DUMMYFUNCTION("REGEXEXTRACT(N19,"" [0-9] "")"),"#NAME?")</f>
        <v>#NAME?</v>
      </c>
      <c r="R19" s="12" t="str">
        <f ca="1">IFERROR(__xludf.DUMMYFUNCTION("REGEXEXTRACT(O19,"" [ABCDEF] "")"),"#NAME?")</f>
        <v>#NAME?</v>
      </c>
      <c r="Z19" s="13" t="s">
        <v>29</v>
      </c>
      <c r="AA19" s="14">
        <v>3</v>
      </c>
      <c r="AB19" s="14">
        <v>2</v>
      </c>
      <c r="AC19" s="14">
        <v>3</v>
      </c>
      <c r="AD19" s="14">
        <v>8</v>
      </c>
      <c r="AE19" s="15"/>
    </row>
    <row r="20" spans="1:31" ht="255" customHeight="1" x14ac:dyDescent="0.4">
      <c r="A20" s="9" t="s">
        <v>153</v>
      </c>
      <c r="B20" s="9" t="s">
        <v>154</v>
      </c>
      <c r="C20" s="9" t="s">
        <v>155</v>
      </c>
      <c r="D20" s="9" t="s">
        <v>156</v>
      </c>
      <c r="E20" s="9" t="s">
        <v>157</v>
      </c>
      <c r="F20" s="9" t="s">
        <v>158</v>
      </c>
      <c r="G20" s="10">
        <v>45659</v>
      </c>
      <c r="H20" s="10">
        <v>45953</v>
      </c>
      <c r="I20" s="9">
        <v>10</v>
      </c>
      <c r="J20" s="9" t="s">
        <v>159</v>
      </c>
      <c r="K20" s="9" t="s">
        <v>160</v>
      </c>
      <c r="L20" s="9"/>
      <c r="M20" s="2" t="e">
        <f t="array" aca="1" ref="M20" ca="1">"---Descriptif mission--- "&amp;CHAR(10)&amp;_xludf.textjoin(CHAR(10),FALSE,$A$1:$K$1&amp;": "&amp;A20:K20)</f>
        <v>#NAME?</v>
      </c>
      <c r="N20" s="18" t="str">
        <f ca="1">IFERROR(__xludf.DUMMYFUNCTION("AI($N$1,M20)"),"#NAME?")</f>
        <v>#NAME?</v>
      </c>
      <c r="O20" s="18" t="str">
        <f ca="1">IFERROR(__xludf.DUMMYFUNCTION("AI($O$1,M20)"),"#NAME?")</f>
        <v>#NAME?</v>
      </c>
      <c r="Q20" s="11" t="str">
        <f ca="1">IFERROR(__xludf.DUMMYFUNCTION("REGEXEXTRACT(N20,"" [0-9] "")"),"#NAME?")</f>
        <v>#NAME?</v>
      </c>
      <c r="R20" s="12" t="str">
        <f ca="1">IFERROR(__xludf.DUMMYFUNCTION("REGEXEXTRACT(O20,"" [ABCDEF] "")"),"#NAME?")</f>
        <v>#NAME?</v>
      </c>
      <c r="Z20" s="13" t="s">
        <v>29</v>
      </c>
      <c r="AA20" s="14">
        <v>2</v>
      </c>
      <c r="AB20" s="14">
        <v>1</v>
      </c>
      <c r="AC20" s="14">
        <v>2</v>
      </c>
      <c r="AD20" s="14">
        <v>5</v>
      </c>
      <c r="AE20" s="15"/>
    </row>
    <row r="21" spans="1:31" ht="97.5" customHeight="1" x14ac:dyDescent="0.4">
      <c r="A21" s="16" t="s">
        <v>161</v>
      </c>
      <c r="B21" s="16" t="s">
        <v>162</v>
      </c>
      <c r="C21" s="16" t="s">
        <v>163</v>
      </c>
      <c r="D21" s="16" t="s">
        <v>164</v>
      </c>
      <c r="E21" s="16" t="s">
        <v>165</v>
      </c>
      <c r="F21" s="16" t="s">
        <v>166</v>
      </c>
      <c r="G21" s="17">
        <v>45782</v>
      </c>
      <c r="H21" s="17">
        <v>45930</v>
      </c>
      <c r="I21" s="16">
        <v>5</v>
      </c>
      <c r="J21" s="16" t="s">
        <v>114</v>
      </c>
      <c r="K21" s="16" t="s">
        <v>167</v>
      </c>
      <c r="L21" s="16"/>
      <c r="M21" s="2" t="e">
        <f t="array" aca="1" ref="M21" ca="1">"---Descriptif mission--- "&amp;CHAR(10)&amp;_xludf.textjoin(CHAR(10),FALSE,$A$1:$K$1&amp;": "&amp;A21:K21)</f>
        <v>#NAME?</v>
      </c>
      <c r="N21" s="18" t="str">
        <f ca="1">IFERROR(__xludf.DUMMYFUNCTION("AI($N$1,M21)"),"#NAME?")</f>
        <v>#NAME?</v>
      </c>
      <c r="O21" s="18" t="str">
        <f ca="1">IFERROR(__xludf.DUMMYFUNCTION("AI($O$1,M21)"),"#NAME?")</f>
        <v>#NAME?</v>
      </c>
      <c r="Q21" s="11" t="str">
        <f ca="1">IFERROR(__xludf.DUMMYFUNCTION("REGEXEXTRACT(N21,"" [0-9] "")"),"#NAME?")</f>
        <v>#NAME?</v>
      </c>
      <c r="R21" s="12" t="str">
        <f ca="1">IFERROR(__xludf.DUMMYFUNCTION("REGEXEXTRACT(O21,"" [ABCDEF] "")"),"#NAME?")</f>
        <v>#NAME?</v>
      </c>
      <c r="Z21" s="13" t="s">
        <v>29</v>
      </c>
      <c r="AA21" s="14">
        <v>3</v>
      </c>
      <c r="AB21" s="14">
        <v>1</v>
      </c>
      <c r="AC21" s="14">
        <v>1</v>
      </c>
      <c r="AD21" s="14">
        <v>5</v>
      </c>
      <c r="AE21" s="15"/>
    </row>
    <row r="22" spans="1:31" ht="333.75" customHeight="1" x14ac:dyDescent="0.4">
      <c r="A22" s="9" t="s">
        <v>168</v>
      </c>
      <c r="B22" s="9" t="s">
        <v>109</v>
      </c>
      <c r="C22" s="9" t="s">
        <v>83</v>
      </c>
      <c r="D22" s="9" t="s">
        <v>169</v>
      </c>
      <c r="E22" s="9" t="s">
        <v>170</v>
      </c>
      <c r="F22" s="9" t="s">
        <v>171</v>
      </c>
      <c r="G22" s="10">
        <v>45537</v>
      </c>
      <c r="H22" s="10">
        <v>45930</v>
      </c>
      <c r="I22" s="9">
        <v>13</v>
      </c>
      <c r="J22" s="9"/>
      <c r="K22" s="9" t="s">
        <v>172</v>
      </c>
      <c r="L22" s="9"/>
      <c r="M22" s="2" t="e">
        <f t="array" aca="1" ref="M22" ca="1">"---Descriptif mission--- "&amp;CHAR(10)&amp;_xludf.textjoin(CHAR(10),FALSE,$A$1:$K$1&amp;": "&amp;A22:K22)</f>
        <v>#NAME?</v>
      </c>
      <c r="N22" s="18" t="str">
        <f ca="1">IFERROR(__xludf.DUMMYFUNCTION("AI($N$1,M22)"),"#NAME?")</f>
        <v>#NAME?</v>
      </c>
      <c r="O22" s="18" t="str">
        <f ca="1">IFERROR(__xludf.DUMMYFUNCTION("AI($O$1,M22)"),"#NAME?")</f>
        <v>#NAME?</v>
      </c>
      <c r="Q22" s="11" t="str">
        <f ca="1">IFERROR(__xludf.DUMMYFUNCTION("REGEXEXTRACT(N22,"" [0-9] "")"),"#NAME?")</f>
        <v>#NAME?</v>
      </c>
      <c r="R22" s="12" t="str">
        <f ca="1">IFERROR(__xludf.DUMMYFUNCTION("REGEXEXTRACT(O22,"" [ABCDEF] "")"),"#NAME?")</f>
        <v>#NAME?</v>
      </c>
      <c r="Z22" s="22" t="s">
        <v>145</v>
      </c>
      <c r="AA22" s="14">
        <v>3</v>
      </c>
      <c r="AB22" s="14">
        <v>3</v>
      </c>
      <c r="AC22" s="14">
        <v>3</v>
      </c>
      <c r="AD22" s="14">
        <v>9</v>
      </c>
      <c r="AE22" s="15"/>
    </row>
    <row r="23" spans="1:31" ht="255" customHeight="1" x14ac:dyDescent="0.4">
      <c r="A23" s="16" t="s">
        <v>173</v>
      </c>
      <c r="B23" s="16" t="s">
        <v>68</v>
      </c>
      <c r="C23" s="16" t="s">
        <v>174</v>
      </c>
      <c r="D23" s="16" t="s">
        <v>175</v>
      </c>
      <c r="E23" s="16" t="s">
        <v>176</v>
      </c>
      <c r="F23" s="16" t="s">
        <v>177</v>
      </c>
      <c r="G23" s="17">
        <v>45670</v>
      </c>
      <c r="H23" s="17">
        <v>45930</v>
      </c>
      <c r="I23" s="16">
        <v>9</v>
      </c>
      <c r="J23" s="16" t="s">
        <v>65</v>
      </c>
      <c r="K23" s="16" t="s">
        <v>178</v>
      </c>
      <c r="L23" s="16"/>
      <c r="M23" s="2" t="e">
        <f t="array" aca="1" ref="M23" ca="1">"---Descriptif mission--- "&amp;CHAR(10)&amp;_xludf.textjoin(CHAR(10),FALSE,$A$1:$K$1&amp;": "&amp;A23:K23)</f>
        <v>#NAME?</v>
      </c>
      <c r="N23" s="18" t="str">
        <f ca="1">IFERROR(__xludf.DUMMYFUNCTION("AI($N$1,M23)"),"#NAME?")</f>
        <v>#NAME?</v>
      </c>
      <c r="O23" s="18" t="str">
        <f ca="1">IFERROR(__xludf.DUMMYFUNCTION("AI($O$1,M23)"),"#NAME?")</f>
        <v>#NAME?</v>
      </c>
      <c r="Q23" s="11" t="str">
        <f ca="1">IFERROR(__xludf.DUMMYFUNCTION("REGEXEXTRACT(N23,"" [0-9] "")"),"#NAME?")</f>
        <v>#NAME?</v>
      </c>
      <c r="R23" s="12" t="str">
        <f ca="1">IFERROR(__xludf.DUMMYFUNCTION("REGEXEXTRACT(O23,"" [ABCDEF] "")"),"#NAME?")</f>
        <v>#NAME?</v>
      </c>
      <c r="Z23" s="19" t="s">
        <v>43</v>
      </c>
      <c r="AA23" s="14">
        <v>1</v>
      </c>
      <c r="AB23" s="14">
        <v>1</v>
      </c>
      <c r="AC23" s="14">
        <v>1</v>
      </c>
      <c r="AD23" s="14">
        <v>3</v>
      </c>
      <c r="AE23" s="15"/>
    </row>
    <row r="24" spans="1:31" ht="160.5" customHeight="1" x14ac:dyDescent="0.4">
      <c r="A24" s="9" t="s">
        <v>179</v>
      </c>
      <c r="B24" s="9" t="s">
        <v>22</v>
      </c>
      <c r="C24" s="9" t="s">
        <v>180</v>
      </c>
      <c r="D24" s="9" t="s">
        <v>179</v>
      </c>
      <c r="E24" s="9" t="s">
        <v>181</v>
      </c>
      <c r="F24" s="9" t="s">
        <v>182</v>
      </c>
      <c r="G24" s="10">
        <v>44958</v>
      </c>
      <c r="H24" s="10">
        <v>45930</v>
      </c>
      <c r="I24" s="9">
        <v>32</v>
      </c>
      <c r="J24" s="9" t="s">
        <v>159</v>
      </c>
      <c r="K24" s="9" t="s">
        <v>183</v>
      </c>
      <c r="L24" s="9"/>
      <c r="M24" s="2" t="e">
        <f t="array" aca="1" ref="M24" ca="1">"---Descriptif mission--- "&amp;CHAR(10)&amp;_xludf.textjoin(CHAR(10),FALSE,$A$1:$K$1&amp;": "&amp;A24:K24)</f>
        <v>#NAME?</v>
      </c>
      <c r="N24" s="18" t="str">
        <f ca="1">IFERROR(__xludf.DUMMYFUNCTION("AI($N$1,M24)"),"#NAME?")</f>
        <v>#NAME?</v>
      </c>
      <c r="O24" s="18" t="str">
        <f ca="1">IFERROR(__xludf.DUMMYFUNCTION("AI($O$1,M24)"),"#NAME?")</f>
        <v>#NAME?</v>
      </c>
      <c r="Q24" s="11" t="str">
        <f ca="1">IFERROR(__xludf.DUMMYFUNCTION("REGEXEXTRACT(N24,"" [0-9] "")"),"#NAME?")</f>
        <v>#NAME?</v>
      </c>
      <c r="R24" s="12" t="str">
        <f ca="1">IFERROR(__xludf.DUMMYFUNCTION("REGEXEXTRACT(O24,"" [ABCDEF] "")"),"#NAME?")</f>
        <v>#NAME?</v>
      </c>
      <c r="Z24" s="13" t="s">
        <v>29</v>
      </c>
      <c r="AA24" s="14">
        <v>2</v>
      </c>
      <c r="AB24" s="14">
        <v>1</v>
      </c>
      <c r="AC24" s="14">
        <v>2</v>
      </c>
      <c r="AD24" s="14">
        <v>5</v>
      </c>
      <c r="AE24" s="15"/>
    </row>
    <row r="25" spans="1:31" ht="349.5" customHeight="1" x14ac:dyDescent="0.4">
      <c r="A25" s="16" t="s">
        <v>184</v>
      </c>
      <c r="B25" s="16" t="s">
        <v>185</v>
      </c>
      <c r="C25" s="16" t="s">
        <v>186</v>
      </c>
      <c r="D25" s="16" t="s">
        <v>187</v>
      </c>
      <c r="E25" s="16" t="s">
        <v>188</v>
      </c>
      <c r="F25" s="16" t="s">
        <v>189</v>
      </c>
      <c r="G25" s="17">
        <v>45659</v>
      </c>
      <c r="H25" s="17">
        <v>45869</v>
      </c>
      <c r="I25" s="16">
        <v>7</v>
      </c>
      <c r="J25" s="16" t="s">
        <v>190</v>
      </c>
      <c r="K25" s="16" t="s">
        <v>191</v>
      </c>
      <c r="L25" s="16"/>
      <c r="M25" s="2" t="e">
        <f t="array" aca="1" ref="M25" ca="1">"---Descriptif mission--- "&amp;CHAR(10)&amp;_xludf.textjoin(CHAR(10),FALSE,$A$1:$K$1&amp;": "&amp;A25:K25)</f>
        <v>#NAME?</v>
      </c>
      <c r="N25" s="18" t="str">
        <f ca="1">IFERROR(__xludf.DUMMYFUNCTION("AI($N$1,M25)"),"#NAME?")</f>
        <v>#NAME?</v>
      </c>
      <c r="O25" s="18" t="str">
        <f ca="1">IFERROR(__xludf.DUMMYFUNCTION("AI($O$1,M25)"),"#NAME?")</f>
        <v>#NAME?</v>
      </c>
      <c r="Q25" s="11" t="str">
        <f ca="1">IFERROR(__xludf.DUMMYFUNCTION("REGEXEXTRACT(N25,"" [0-9] "")"),"#NAME?")</f>
        <v>#NAME?</v>
      </c>
      <c r="R25" s="12" t="str">
        <f ca="1">IFERROR(__xludf.DUMMYFUNCTION("REGEXEXTRACT(O25,"" [ABCDEF] "")"),"#NAME?")</f>
        <v>#NAME?</v>
      </c>
      <c r="Z25" s="19" t="s">
        <v>43</v>
      </c>
      <c r="AA25" s="14">
        <v>1</v>
      </c>
      <c r="AB25" s="14">
        <v>1</v>
      </c>
      <c r="AC25" s="14">
        <v>1</v>
      </c>
      <c r="AD25" s="14">
        <v>3</v>
      </c>
      <c r="AE25" s="15"/>
    </row>
    <row r="26" spans="1:31" ht="239.25" customHeight="1" x14ac:dyDescent="0.4">
      <c r="A26" s="9" t="s">
        <v>192</v>
      </c>
      <c r="B26" s="9" t="s">
        <v>193</v>
      </c>
      <c r="C26" s="9" t="s">
        <v>194</v>
      </c>
      <c r="D26" s="9" t="s">
        <v>195</v>
      </c>
      <c r="E26" s="9" t="s">
        <v>196</v>
      </c>
      <c r="F26" s="9" t="s">
        <v>197</v>
      </c>
      <c r="G26" s="10">
        <v>45754</v>
      </c>
      <c r="H26" s="10">
        <v>45869</v>
      </c>
      <c r="I26" s="9">
        <v>4</v>
      </c>
      <c r="J26" s="9" t="s">
        <v>114</v>
      </c>
      <c r="K26" s="9" t="s">
        <v>198</v>
      </c>
      <c r="L26" s="9"/>
      <c r="M26" s="2" t="e">
        <f t="array" aca="1" ref="M26" ca="1">"---Descriptif mission--- "&amp;CHAR(10)&amp;_xludf.textjoin(CHAR(10),FALSE,$A$1:$K$1&amp;": "&amp;A26:K26)</f>
        <v>#NAME?</v>
      </c>
      <c r="N26" s="18" t="str">
        <f ca="1">IFERROR(__xludf.DUMMYFUNCTION("AI($N$1,M26)"),"#NAME?")</f>
        <v>#NAME?</v>
      </c>
      <c r="O26" s="18" t="str">
        <f ca="1">IFERROR(__xludf.DUMMYFUNCTION("AI($O$1,M26)"),"#NAME?")</f>
        <v>#NAME?</v>
      </c>
      <c r="Q26" s="11" t="str">
        <f ca="1">IFERROR(__xludf.DUMMYFUNCTION("REGEXEXTRACT(N26,"" [0-9] "")"),"#NAME?")</f>
        <v>#NAME?</v>
      </c>
      <c r="R26" s="12" t="str">
        <f ca="1">IFERROR(__xludf.DUMMYFUNCTION("REGEXEXTRACT(O26,"" [ABCDEF] "")"),"#NAME?")</f>
        <v>#NAME?</v>
      </c>
      <c r="Z26" s="13" t="s">
        <v>29</v>
      </c>
      <c r="AA26" s="14">
        <v>3</v>
      </c>
      <c r="AB26" s="14">
        <v>1</v>
      </c>
      <c r="AC26" s="14">
        <v>2</v>
      </c>
      <c r="AD26" s="14">
        <v>6</v>
      </c>
      <c r="AE26" s="15"/>
    </row>
    <row r="27" spans="1:31" ht="207.75" customHeight="1" x14ac:dyDescent="0.4">
      <c r="A27" s="16" t="s">
        <v>199</v>
      </c>
      <c r="B27" s="16" t="s">
        <v>200</v>
      </c>
      <c r="C27" s="16" t="s">
        <v>201</v>
      </c>
      <c r="D27" s="16" t="s">
        <v>202</v>
      </c>
      <c r="E27" s="16" t="s">
        <v>203</v>
      </c>
      <c r="F27" s="16" t="s">
        <v>204</v>
      </c>
      <c r="G27" s="17">
        <v>45778</v>
      </c>
      <c r="H27" s="17">
        <v>45852</v>
      </c>
      <c r="I27" s="16">
        <v>3</v>
      </c>
      <c r="J27" s="16"/>
      <c r="K27" s="16" t="s">
        <v>205</v>
      </c>
      <c r="L27" s="16"/>
      <c r="M27" s="2" t="e">
        <f t="array" aca="1" ref="M27" ca="1">"---Descriptif mission--- "&amp;CHAR(10)&amp;_xludf.textjoin(CHAR(10),FALSE,$A$1:$K$1&amp;": "&amp;A27:K27)</f>
        <v>#NAME?</v>
      </c>
      <c r="N27" s="18" t="str">
        <f ca="1">IFERROR(__xludf.DUMMYFUNCTION("AI($N$1,M27)"),"#NAME?")</f>
        <v>#NAME?</v>
      </c>
      <c r="O27" s="18" t="str">
        <f ca="1">IFERROR(__xludf.DUMMYFUNCTION("AI($O$1,M27)"),"#NAME?")</f>
        <v>#NAME?</v>
      </c>
      <c r="Q27" s="11" t="str">
        <f ca="1">IFERROR(__xludf.DUMMYFUNCTION("REGEXEXTRACT(N27,"" [0-9] "")"),"#NAME?")</f>
        <v>#NAME?</v>
      </c>
      <c r="R27" s="12" t="str">
        <f ca="1">IFERROR(__xludf.DUMMYFUNCTION("REGEXEXTRACT(O27,"" [ABCDEF] "")"),"#NAME?")</f>
        <v>#NAME?</v>
      </c>
      <c r="Z27" s="19" t="s">
        <v>43</v>
      </c>
      <c r="AA27" s="14">
        <v>1</v>
      </c>
      <c r="AB27" s="14">
        <v>1</v>
      </c>
      <c r="AC27" s="14">
        <v>2</v>
      </c>
      <c r="AD27" s="14">
        <v>4</v>
      </c>
      <c r="AE27" s="15"/>
    </row>
    <row r="28" spans="1:31" ht="239.25" customHeight="1" x14ac:dyDescent="0.4">
      <c r="A28" s="9" t="s">
        <v>206</v>
      </c>
      <c r="B28" s="9" t="s">
        <v>207</v>
      </c>
      <c r="C28" s="9" t="s">
        <v>208</v>
      </c>
      <c r="D28" s="9" t="s">
        <v>209</v>
      </c>
      <c r="E28" s="9" t="s">
        <v>210</v>
      </c>
      <c r="F28" s="9" t="s">
        <v>211</v>
      </c>
      <c r="G28" s="10">
        <v>45701</v>
      </c>
      <c r="H28" s="10">
        <v>45849</v>
      </c>
      <c r="I28" s="9">
        <v>6</v>
      </c>
      <c r="J28" s="9" t="s">
        <v>190</v>
      </c>
      <c r="K28" s="9" t="s">
        <v>212</v>
      </c>
      <c r="L28" s="9"/>
      <c r="M28" s="2" t="e">
        <f t="array" aca="1" ref="M28" ca="1">"---Descriptif mission--- "&amp;CHAR(10)&amp;_xludf.textjoin(CHAR(10),FALSE,$A$1:$K$1&amp;": "&amp;A28:K28)</f>
        <v>#NAME?</v>
      </c>
      <c r="N28" s="18" t="str">
        <f ca="1">IFERROR(__xludf.DUMMYFUNCTION("AI($N$1,M28)"),"#NAME?")</f>
        <v>#NAME?</v>
      </c>
      <c r="O28" s="18" t="str">
        <f ca="1">IFERROR(__xludf.DUMMYFUNCTION("AI($O$1,M28)"),"#NAME?")</f>
        <v>#NAME?</v>
      </c>
      <c r="Q28" s="11" t="str">
        <f ca="1">IFERROR(__xludf.DUMMYFUNCTION("REGEXEXTRACT(N28,"" [0-9] "")"),"#NAME?")</f>
        <v>#NAME?</v>
      </c>
      <c r="R28" s="12" t="str">
        <f ca="1">IFERROR(__xludf.DUMMYFUNCTION("REGEXEXTRACT(O28,"" [ABCDEF] "")"),"#NAME?")</f>
        <v>#NAME?</v>
      </c>
      <c r="Z28" s="13" t="s">
        <v>29</v>
      </c>
      <c r="AA28" s="14">
        <v>3</v>
      </c>
      <c r="AB28" s="14">
        <v>1</v>
      </c>
      <c r="AC28" s="14">
        <v>2</v>
      </c>
      <c r="AD28" s="14">
        <v>6</v>
      </c>
      <c r="AE28" s="15"/>
    </row>
    <row r="29" spans="1:31" ht="286.5" customHeight="1" x14ac:dyDescent="0.4">
      <c r="A29" s="16" t="s">
        <v>213</v>
      </c>
      <c r="B29" s="16" t="s">
        <v>214</v>
      </c>
      <c r="C29" s="16" t="s">
        <v>215</v>
      </c>
      <c r="D29" s="16" t="s">
        <v>216</v>
      </c>
      <c r="E29" s="16" t="s">
        <v>217</v>
      </c>
      <c r="F29" s="16" t="s">
        <v>218</v>
      </c>
      <c r="G29" s="17">
        <v>45847</v>
      </c>
      <c r="H29" s="17">
        <v>45847</v>
      </c>
      <c r="I29" s="16">
        <v>1</v>
      </c>
      <c r="J29" s="16" t="s">
        <v>190</v>
      </c>
      <c r="K29" s="16" t="s">
        <v>219</v>
      </c>
      <c r="L29" s="16"/>
      <c r="M29" s="2" t="e">
        <f t="array" aca="1" ref="M29" ca="1">"---Descriptif mission--- "&amp;CHAR(10)&amp;_xludf.textjoin(CHAR(10),FALSE,$A$1:$K$1&amp;": "&amp;A29:K29)</f>
        <v>#NAME?</v>
      </c>
      <c r="N29" s="18" t="str">
        <f ca="1">IFERROR(__xludf.DUMMYFUNCTION("AI($N$1,M29)"),"#NAME?")</f>
        <v>#NAME?</v>
      </c>
      <c r="O29" s="18" t="str">
        <f ca="1">IFERROR(__xludf.DUMMYFUNCTION("AI($O$1,M29)"),"#NAME?")</f>
        <v>#NAME?</v>
      </c>
      <c r="Q29" s="11" t="str">
        <f ca="1">IFERROR(__xludf.DUMMYFUNCTION("REGEXEXTRACT(N29,"" [0-9] "")"),"#NAME?")</f>
        <v>#NAME?</v>
      </c>
      <c r="R29" s="12" t="str">
        <f ca="1">IFERROR(__xludf.DUMMYFUNCTION("REGEXEXTRACT(O29,"" [ABCDEF] "")"),"#NAME?")</f>
        <v>#NAME?</v>
      </c>
      <c r="Z29" s="13" t="s">
        <v>29</v>
      </c>
      <c r="AA29" s="14">
        <v>3</v>
      </c>
      <c r="AB29" s="14">
        <v>2</v>
      </c>
      <c r="AC29" s="14">
        <v>1</v>
      </c>
      <c r="AD29" s="14">
        <v>6</v>
      </c>
      <c r="AE29" s="15"/>
    </row>
    <row r="30" spans="1:31" ht="176.25" customHeight="1" x14ac:dyDescent="0.4">
      <c r="A30" s="9" t="s">
        <v>220</v>
      </c>
      <c r="B30" s="9" t="s">
        <v>60</v>
      </c>
      <c r="C30" s="9" t="s">
        <v>221</v>
      </c>
      <c r="D30" s="9" t="s">
        <v>222</v>
      </c>
      <c r="E30" s="9" t="s">
        <v>223</v>
      </c>
      <c r="F30" s="9" t="s">
        <v>224</v>
      </c>
      <c r="G30" s="10">
        <v>45551</v>
      </c>
      <c r="H30" s="10">
        <v>45842</v>
      </c>
      <c r="I30" s="9">
        <v>11</v>
      </c>
      <c r="J30" s="9" t="s">
        <v>225</v>
      </c>
      <c r="K30" s="9" t="s">
        <v>226</v>
      </c>
      <c r="L30" s="9"/>
      <c r="M30" s="2" t="e">
        <f t="array" aca="1" ref="M30" ca="1">"---Descriptif mission--- "&amp;CHAR(10)&amp;_xludf.textjoin(CHAR(10),FALSE,$A$1:$K$1&amp;": "&amp;A30:K30)</f>
        <v>#NAME?</v>
      </c>
      <c r="N30" s="18" t="str">
        <f ca="1">IFERROR(__xludf.DUMMYFUNCTION("AI($N$1,M30)"),"#NAME?")</f>
        <v>#NAME?</v>
      </c>
      <c r="O30" s="18" t="str">
        <f ca="1">IFERROR(__xludf.DUMMYFUNCTION("AI($O$1,M30)"),"#NAME?")</f>
        <v>#NAME?</v>
      </c>
      <c r="Q30" s="11" t="str">
        <f ca="1">IFERROR(__xludf.DUMMYFUNCTION("REGEXEXTRACT(N30,"" [0-9] "")"),"#NAME?")</f>
        <v>#NAME?</v>
      </c>
      <c r="R30" s="12" t="str">
        <f ca="1">IFERROR(__xludf.DUMMYFUNCTION("REGEXEXTRACT(O30,"" [ABCDEF] "")"),"#NAME?")</f>
        <v>#NAME?</v>
      </c>
      <c r="Z30" s="13" t="s">
        <v>29</v>
      </c>
      <c r="AA30" s="14">
        <v>3</v>
      </c>
      <c r="AB30" s="14">
        <v>2</v>
      </c>
      <c r="AC30" s="14">
        <v>2</v>
      </c>
      <c r="AD30" s="14">
        <v>7</v>
      </c>
      <c r="AE30" s="15"/>
    </row>
    <row r="31" spans="1:31" ht="239.25" customHeight="1" x14ac:dyDescent="0.4">
      <c r="A31" s="16" t="s">
        <v>227</v>
      </c>
      <c r="B31" s="16" t="s">
        <v>109</v>
      </c>
      <c r="C31" s="16" t="s">
        <v>228</v>
      </c>
      <c r="D31" s="16" t="s">
        <v>195</v>
      </c>
      <c r="E31" s="16" t="s">
        <v>229</v>
      </c>
      <c r="F31" s="16" t="s">
        <v>230</v>
      </c>
      <c r="G31" s="17">
        <v>45726</v>
      </c>
      <c r="H31" s="17">
        <v>45838</v>
      </c>
      <c r="I31" s="16">
        <v>4</v>
      </c>
      <c r="J31" s="16" t="s">
        <v>114</v>
      </c>
      <c r="K31" s="16" t="s">
        <v>231</v>
      </c>
      <c r="L31" s="16"/>
      <c r="M31" s="2" t="e">
        <f t="array" aca="1" ref="M31" ca="1">"---Descriptif mission--- "&amp;CHAR(10)&amp;_xludf.textjoin(CHAR(10),FALSE,$A$1:$K$1&amp;": "&amp;A31:K31)</f>
        <v>#NAME?</v>
      </c>
      <c r="N31" s="18" t="str">
        <f ca="1">IFERROR(__xludf.DUMMYFUNCTION("AI($N$1,M31)"),"#NAME?")</f>
        <v>#NAME?</v>
      </c>
      <c r="O31" s="18" t="str">
        <f ca="1">IFERROR(__xludf.DUMMYFUNCTION("AI($O$1,M31)"),"#NAME?")</f>
        <v>#NAME?</v>
      </c>
      <c r="Q31" s="11" t="str">
        <f ca="1">IFERROR(__xludf.DUMMYFUNCTION("REGEXEXTRACT(N31,"" [0-9] "")"),"#NAME?")</f>
        <v>#NAME?</v>
      </c>
      <c r="R31" s="12" t="str">
        <f ca="1">IFERROR(__xludf.DUMMYFUNCTION("REGEXEXTRACT(O31,"" [ABCDEF] "")"),"#NAME?")</f>
        <v>#NAME?</v>
      </c>
      <c r="Z31" s="13" t="s">
        <v>29</v>
      </c>
      <c r="AA31" s="14">
        <v>3</v>
      </c>
      <c r="AB31" s="14">
        <v>1</v>
      </c>
      <c r="AC31" s="14">
        <v>1</v>
      </c>
      <c r="AD31" s="14">
        <v>5</v>
      </c>
      <c r="AE31" s="15"/>
    </row>
    <row r="32" spans="1:31" ht="286.5" customHeight="1" x14ac:dyDescent="0.4">
      <c r="A32" s="9" t="s">
        <v>232</v>
      </c>
      <c r="B32" s="9" t="s">
        <v>233</v>
      </c>
      <c r="C32" s="9" t="s">
        <v>234</v>
      </c>
      <c r="D32" s="9" t="s">
        <v>235</v>
      </c>
      <c r="E32" s="9" t="s">
        <v>236</v>
      </c>
      <c r="F32" s="9" t="s">
        <v>237</v>
      </c>
      <c r="G32" s="10">
        <v>45597</v>
      </c>
      <c r="H32" s="10">
        <v>45838</v>
      </c>
      <c r="I32" s="9">
        <v>8</v>
      </c>
      <c r="J32" s="9"/>
      <c r="K32" s="9" t="s">
        <v>238</v>
      </c>
      <c r="L32" s="9"/>
      <c r="M32" s="2" t="e">
        <f t="array" aca="1" ref="M32" ca="1">"---Descriptif mission--- "&amp;CHAR(10)&amp;_xludf.textjoin(CHAR(10),FALSE,$A$1:$K$1&amp;": "&amp;A32:K32)</f>
        <v>#NAME?</v>
      </c>
      <c r="N32" s="18" t="str">
        <f ca="1">IFERROR(__xludf.DUMMYFUNCTION("AI($N$1,M32)"),"#NAME?")</f>
        <v>#NAME?</v>
      </c>
      <c r="O32" s="18" t="str">
        <f ca="1">IFERROR(__xludf.DUMMYFUNCTION("AI($O$1,M32)"),"#NAME?")</f>
        <v>#NAME?</v>
      </c>
      <c r="Q32" s="11" t="str">
        <f ca="1">IFERROR(__xludf.DUMMYFUNCTION("REGEXEXTRACT(N32,"" [0-9] "")"),"#NAME?")</f>
        <v>#NAME?</v>
      </c>
      <c r="R32" s="12" t="str">
        <f ca="1">IFERROR(__xludf.DUMMYFUNCTION("REGEXEXTRACT(O32,"" [ABCDEF] "")"),"#NAME?")</f>
        <v>#NAME?</v>
      </c>
      <c r="Z32" s="19" t="s">
        <v>43</v>
      </c>
      <c r="AA32" s="14">
        <v>2</v>
      </c>
      <c r="AB32" s="14">
        <v>1</v>
      </c>
      <c r="AC32" s="14">
        <v>1</v>
      </c>
      <c r="AD32" s="14">
        <v>4</v>
      </c>
      <c r="AE32" s="15"/>
    </row>
    <row r="33" spans="1:31" ht="129" customHeight="1" x14ac:dyDescent="0.4">
      <c r="A33" s="16" t="s">
        <v>239</v>
      </c>
      <c r="B33" s="16" t="s">
        <v>207</v>
      </c>
      <c r="C33" s="16" t="s">
        <v>240</v>
      </c>
      <c r="D33" s="16" t="s">
        <v>241</v>
      </c>
      <c r="E33" s="16" t="s">
        <v>242</v>
      </c>
      <c r="F33" s="16" t="s">
        <v>243</v>
      </c>
      <c r="G33" s="17">
        <v>45810</v>
      </c>
      <c r="H33" s="17">
        <v>45835</v>
      </c>
      <c r="I33" s="16">
        <v>1</v>
      </c>
      <c r="J33" s="16"/>
      <c r="K33" s="16" t="s">
        <v>244</v>
      </c>
      <c r="L33" s="16"/>
      <c r="M33" s="2" t="e">
        <f t="array" aca="1" ref="M33" ca="1">"---Descriptif mission--- "&amp;CHAR(10)&amp;_xludf.textjoin(CHAR(10),FALSE,$A$1:$K$1&amp;": "&amp;A33:K33)</f>
        <v>#NAME?</v>
      </c>
      <c r="N33" s="18" t="str">
        <f ca="1">IFERROR(__xludf.DUMMYFUNCTION("AI($N$1,M33)"),"#NAME?")</f>
        <v>#NAME?</v>
      </c>
      <c r="O33" s="18" t="str">
        <f ca="1">IFERROR(__xludf.DUMMYFUNCTION("AI($O$1,M33)"),"#NAME?")</f>
        <v>#NAME?</v>
      </c>
      <c r="Q33" s="11" t="str">
        <f ca="1">IFERROR(__xludf.DUMMYFUNCTION("REGEXEXTRACT(N33,"" [0-9] "")"),"#NAME?")</f>
        <v>#NAME?</v>
      </c>
      <c r="R33" s="12" t="str">
        <f ca="1">IFERROR(__xludf.DUMMYFUNCTION("REGEXEXTRACT(O33,"" [ABCDEF] "")"),"#NAME?")</f>
        <v>#NAME?</v>
      </c>
      <c r="Z33" s="22" t="s">
        <v>145</v>
      </c>
      <c r="AA33" s="14">
        <v>3</v>
      </c>
      <c r="AB33" s="14">
        <v>3</v>
      </c>
      <c r="AC33" s="14">
        <v>2</v>
      </c>
      <c r="AD33" s="14">
        <v>8</v>
      </c>
      <c r="AE33" s="15"/>
    </row>
    <row r="34" spans="1:31" ht="255" customHeight="1" x14ac:dyDescent="0.4">
      <c r="A34" s="9" t="s">
        <v>245</v>
      </c>
      <c r="B34" s="9" t="s">
        <v>246</v>
      </c>
      <c r="C34" s="9" t="s">
        <v>247</v>
      </c>
      <c r="D34" s="9" t="s">
        <v>248</v>
      </c>
      <c r="E34" s="9" t="s">
        <v>249</v>
      </c>
      <c r="F34" s="9" t="s">
        <v>250</v>
      </c>
      <c r="G34" s="10">
        <v>45776</v>
      </c>
      <c r="H34" s="10">
        <v>45818</v>
      </c>
      <c r="I34" s="9">
        <v>3</v>
      </c>
      <c r="J34" s="9" t="s">
        <v>251</v>
      </c>
      <c r="K34" s="9" t="s">
        <v>252</v>
      </c>
      <c r="L34" s="9"/>
      <c r="M34" s="2" t="e">
        <f t="array" aca="1" ref="M34" ca="1">"---Descriptif mission--- "&amp;CHAR(10)&amp;_xludf.textjoin(CHAR(10),FALSE,$A$1:$K$1&amp;": "&amp;A34:K34)</f>
        <v>#NAME?</v>
      </c>
      <c r="N34" s="18" t="str">
        <f ca="1">IFERROR(__xludf.DUMMYFUNCTION("AI($N$1,M34)"),"#NAME?")</f>
        <v>#NAME?</v>
      </c>
      <c r="O34" s="18" t="str">
        <f ca="1">IFERROR(__xludf.DUMMYFUNCTION("AI($O$1,M34)"),"#NAME?")</f>
        <v>#NAME?</v>
      </c>
      <c r="Q34" s="11" t="str">
        <f ca="1">IFERROR(__xludf.DUMMYFUNCTION("REGEXEXTRACT(N34,"" [0-9] "")"),"#NAME?")</f>
        <v>#NAME?</v>
      </c>
      <c r="R34" s="12" t="str">
        <f ca="1">IFERROR(__xludf.DUMMYFUNCTION("REGEXEXTRACT(O34,"" [ABCDEF] "")"),"#NAME?")</f>
        <v>#NAME?</v>
      </c>
      <c r="Z34" s="13" t="s">
        <v>29</v>
      </c>
      <c r="AA34" s="14">
        <v>3</v>
      </c>
      <c r="AB34" s="14">
        <v>1</v>
      </c>
      <c r="AC34" s="14">
        <v>2</v>
      </c>
      <c r="AD34" s="14">
        <v>6</v>
      </c>
      <c r="AE34" s="15"/>
    </row>
    <row r="35" spans="1:31" ht="192" customHeight="1" x14ac:dyDescent="0.4">
      <c r="A35" s="16" t="s">
        <v>168</v>
      </c>
      <c r="B35" s="16" t="s">
        <v>253</v>
      </c>
      <c r="C35" s="16" t="s">
        <v>254</v>
      </c>
      <c r="D35" s="16" t="s">
        <v>255</v>
      </c>
      <c r="E35" s="16" t="s">
        <v>256</v>
      </c>
      <c r="F35" s="16" t="s">
        <v>257</v>
      </c>
      <c r="G35" s="17">
        <v>45658</v>
      </c>
      <c r="H35" s="17">
        <v>45761</v>
      </c>
      <c r="I35" s="16">
        <v>4</v>
      </c>
      <c r="J35" s="16"/>
      <c r="K35" s="16" t="s">
        <v>258</v>
      </c>
      <c r="L35" s="16"/>
      <c r="M35" s="2" t="e">
        <f t="array" aca="1" ref="M35" ca="1">"---Descriptif mission--- "&amp;CHAR(10)&amp;_xludf.textjoin(CHAR(10),FALSE,$A$1:$K$1&amp;": "&amp;A35:K35)</f>
        <v>#NAME?</v>
      </c>
      <c r="N35" s="18" t="str">
        <f ca="1">IFERROR(__xludf.DUMMYFUNCTION("AI($N$1,M35)"),"#NAME?")</f>
        <v>#NAME?</v>
      </c>
      <c r="O35" s="18" t="str">
        <f ca="1">IFERROR(__xludf.DUMMYFUNCTION("AI($O$1,M35)"),"#NAME?")</f>
        <v>#NAME?</v>
      </c>
      <c r="Q35" s="11" t="str">
        <f ca="1">IFERROR(__xludf.DUMMYFUNCTION("REGEXEXTRACT(N35,"" [0-9] "")"),"#NAME?")</f>
        <v>#NAME?</v>
      </c>
      <c r="R35" s="12" t="str">
        <f ca="1">IFERROR(__xludf.DUMMYFUNCTION("REGEXEXTRACT(O35,"" [ABCDEF] "")"),"#NAME?")</f>
        <v>#NAME?</v>
      </c>
      <c r="Z35" s="22" t="s">
        <v>145</v>
      </c>
      <c r="AA35" s="14">
        <v>3</v>
      </c>
      <c r="AB35" s="14">
        <v>3</v>
      </c>
      <c r="AC35" s="14">
        <v>2</v>
      </c>
      <c r="AD35" s="14">
        <v>8</v>
      </c>
      <c r="AE35" s="15"/>
    </row>
    <row r="36" spans="1:31" ht="207.75" customHeight="1" x14ac:dyDescent="0.4">
      <c r="A36" s="9" t="s">
        <v>259</v>
      </c>
      <c r="B36" s="9" t="s">
        <v>253</v>
      </c>
      <c r="C36" s="9" t="s">
        <v>260</v>
      </c>
      <c r="D36" s="9" t="s">
        <v>261</v>
      </c>
      <c r="E36" s="9" t="s">
        <v>262</v>
      </c>
      <c r="F36" s="9" t="s">
        <v>263</v>
      </c>
      <c r="G36" s="10">
        <v>45658</v>
      </c>
      <c r="H36" s="10">
        <v>45747</v>
      </c>
      <c r="I36" s="9">
        <v>3</v>
      </c>
      <c r="J36" s="9"/>
      <c r="K36" s="9" t="s">
        <v>264</v>
      </c>
      <c r="L36" s="9"/>
      <c r="M36" s="2" t="e">
        <f t="array" aca="1" ref="M36" ca="1">"---Descriptif mission--- "&amp;CHAR(10)&amp;_xludf.textjoin(CHAR(10),FALSE,$A$1:$K$1&amp;": "&amp;A36:K36)</f>
        <v>#NAME?</v>
      </c>
      <c r="N36" s="18" t="str">
        <f ca="1">IFERROR(__xludf.DUMMYFUNCTION("AI($N$1,M36)"),"#NAME?")</f>
        <v>#NAME?</v>
      </c>
      <c r="O36" s="18" t="str">
        <f ca="1">IFERROR(__xludf.DUMMYFUNCTION("AI($O$1,M36)"),"#NAME?")</f>
        <v>#NAME?</v>
      </c>
      <c r="Q36" s="11" t="str">
        <f ca="1">IFERROR(__xludf.DUMMYFUNCTION("REGEXEXTRACT(N36,"" [0-9] "")"),"#NAME?")</f>
        <v>#NAME?</v>
      </c>
      <c r="R36" s="12" t="str">
        <f ca="1">IFERROR(__xludf.DUMMYFUNCTION("REGEXEXTRACT(O36,"" [ABCDEF] "")"),"#NAME?")</f>
        <v>#NAME?</v>
      </c>
      <c r="Z36" s="13" t="s">
        <v>29</v>
      </c>
      <c r="AA36" s="14">
        <v>3</v>
      </c>
      <c r="AB36" s="14">
        <v>2</v>
      </c>
      <c r="AC36" s="14">
        <v>2</v>
      </c>
      <c r="AD36" s="14">
        <v>7</v>
      </c>
      <c r="AE36" s="15"/>
    </row>
    <row r="37" spans="1:31" ht="207.75" customHeight="1" x14ac:dyDescent="0.4">
      <c r="A37" s="16" t="s">
        <v>168</v>
      </c>
      <c r="B37" s="16" t="s">
        <v>253</v>
      </c>
      <c r="C37" s="16" t="s">
        <v>260</v>
      </c>
      <c r="D37" s="16" t="s">
        <v>265</v>
      </c>
      <c r="E37" s="16" t="s">
        <v>266</v>
      </c>
      <c r="F37" s="16" t="s">
        <v>267</v>
      </c>
      <c r="G37" s="17">
        <v>45658</v>
      </c>
      <c r="H37" s="17">
        <v>45747</v>
      </c>
      <c r="I37" s="16">
        <v>3</v>
      </c>
      <c r="J37" s="16"/>
      <c r="K37" s="16" t="s">
        <v>268</v>
      </c>
      <c r="L37" s="16"/>
      <c r="M37" s="2" t="e">
        <f t="array" aca="1" ref="M37" ca="1">"---Descriptif mission--- "&amp;CHAR(10)&amp;_xludf.textjoin(CHAR(10),FALSE,$A$1:$K$1&amp;": "&amp;A37:K37)</f>
        <v>#NAME?</v>
      </c>
      <c r="N37" s="18" t="str">
        <f ca="1">IFERROR(__xludf.DUMMYFUNCTION("AI($N$1,M37)"),"#NAME?")</f>
        <v>#NAME?</v>
      </c>
      <c r="O37" s="18" t="str">
        <f ca="1">IFERROR(__xludf.DUMMYFUNCTION("AI($O$1,M37)"),"#NAME?")</f>
        <v>#NAME?</v>
      </c>
      <c r="Q37" s="11" t="str">
        <f ca="1">IFERROR(__xludf.DUMMYFUNCTION("REGEXEXTRACT(N37,"" [0-9] "")"),"#NAME?")</f>
        <v>#NAME?</v>
      </c>
      <c r="R37" s="12" t="str">
        <f ca="1">IFERROR(__xludf.DUMMYFUNCTION("REGEXEXTRACT(O37,"" [ABCDEF] "")"),"#NAME?")</f>
        <v>#NAME?</v>
      </c>
      <c r="Z37" s="22" t="s">
        <v>145</v>
      </c>
      <c r="AA37" s="14">
        <v>3</v>
      </c>
      <c r="AB37" s="14">
        <v>3</v>
      </c>
      <c r="AC37" s="14">
        <v>2</v>
      </c>
      <c r="AD37" s="14">
        <v>8</v>
      </c>
      <c r="AE37" s="15"/>
    </row>
    <row r="38" spans="1:31" ht="286.5" customHeight="1" x14ac:dyDescent="0.4">
      <c r="A38" s="9" t="s">
        <v>199</v>
      </c>
      <c r="B38" s="9" t="s">
        <v>269</v>
      </c>
      <c r="C38" s="9" t="s">
        <v>270</v>
      </c>
      <c r="D38" s="9" t="s">
        <v>271</v>
      </c>
      <c r="E38" s="9" t="s">
        <v>272</v>
      </c>
      <c r="F38" s="9" t="s">
        <v>273</v>
      </c>
      <c r="G38" s="10">
        <v>45110</v>
      </c>
      <c r="H38" s="10">
        <v>45747</v>
      </c>
      <c r="I38" s="9">
        <v>21</v>
      </c>
      <c r="J38" s="9" t="s">
        <v>274</v>
      </c>
      <c r="K38" s="9" t="s">
        <v>275</v>
      </c>
      <c r="L38" s="9"/>
      <c r="M38" s="2" t="e">
        <f t="array" aca="1" ref="M38" ca="1">"---Descriptif mission--- "&amp;CHAR(10)&amp;_xludf.textjoin(CHAR(10),FALSE,$A$1:$K$1&amp;": "&amp;A38:K38)</f>
        <v>#NAME?</v>
      </c>
      <c r="N38" s="18" t="str">
        <f ca="1">IFERROR(__xludf.DUMMYFUNCTION("AI($N$1,M38)"),"#NAME?")</f>
        <v>#NAME?</v>
      </c>
      <c r="O38" s="18" t="str">
        <f ca="1">IFERROR(__xludf.DUMMYFUNCTION("AI($O$1,M38)"),"#NAME?")</f>
        <v>#NAME?</v>
      </c>
      <c r="Q38" s="11" t="str">
        <f ca="1">IFERROR(__xludf.DUMMYFUNCTION("REGEXEXTRACT(N38,"" [0-9] "")"),"#NAME?")</f>
        <v>#NAME?</v>
      </c>
      <c r="R38" s="12" t="str">
        <f ca="1">IFERROR(__xludf.DUMMYFUNCTION("REGEXEXTRACT(O38,"" [ABCDEF] "")"),"#NAME?")</f>
        <v>#NAME?</v>
      </c>
      <c r="Z38" s="22" t="s">
        <v>145</v>
      </c>
      <c r="AA38" s="14">
        <v>2</v>
      </c>
      <c r="AB38" s="14">
        <v>3</v>
      </c>
      <c r="AC38" s="14">
        <v>3</v>
      </c>
      <c r="AD38" s="14">
        <v>8</v>
      </c>
      <c r="AE38" s="15"/>
    </row>
    <row r="39" spans="1:31" ht="81.75" customHeight="1" x14ac:dyDescent="0.4">
      <c r="A39" s="16" t="s">
        <v>276</v>
      </c>
      <c r="B39" s="16" t="s">
        <v>277</v>
      </c>
      <c r="C39" s="16" t="s">
        <v>278</v>
      </c>
      <c r="D39" s="16" t="s">
        <v>279</v>
      </c>
      <c r="E39" s="16" t="s">
        <v>280</v>
      </c>
      <c r="F39" s="16" t="s">
        <v>281</v>
      </c>
      <c r="G39" s="17">
        <v>45565</v>
      </c>
      <c r="H39" s="17">
        <v>45716</v>
      </c>
      <c r="I39" s="16">
        <v>6</v>
      </c>
      <c r="J39" s="16" t="s">
        <v>274</v>
      </c>
      <c r="K39" s="16" t="s">
        <v>282</v>
      </c>
      <c r="L39" s="16"/>
      <c r="M39" s="2" t="e">
        <f t="array" aca="1" ref="M39" ca="1">"---Descriptif mission--- "&amp;CHAR(10)&amp;_xludf.textjoin(CHAR(10),FALSE,$A$1:$K$1&amp;": "&amp;A39:K39)</f>
        <v>#NAME?</v>
      </c>
      <c r="N39" s="18" t="str">
        <f ca="1">IFERROR(__xludf.DUMMYFUNCTION("AI($N$1,M39)"),"#NAME?")</f>
        <v>#NAME?</v>
      </c>
      <c r="O39" s="18" t="str">
        <f ca="1">IFERROR(__xludf.DUMMYFUNCTION("AI($O$1,M39)"),"#NAME?")</f>
        <v>#NAME?</v>
      </c>
      <c r="Q39" s="11" t="str">
        <f ca="1">IFERROR(__xludf.DUMMYFUNCTION("REGEXEXTRACT(N39,"" [0-9] "")"),"#NAME?")</f>
        <v>#NAME?</v>
      </c>
      <c r="R39" s="12" t="str">
        <f ca="1">IFERROR(__xludf.DUMMYFUNCTION("REGEXEXTRACT(O39,"" [ABCDEF] "")"),"#NAME?")</f>
        <v>#NAME?</v>
      </c>
      <c r="Z39" s="19" t="s">
        <v>43</v>
      </c>
      <c r="AA39" s="14">
        <v>1</v>
      </c>
      <c r="AB39" s="14">
        <v>1</v>
      </c>
      <c r="AC39" s="14">
        <v>2</v>
      </c>
      <c r="AD39" s="14">
        <v>4</v>
      </c>
      <c r="AE39" s="15"/>
    </row>
    <row r="40" spans="1:31" ht="223.5" customHeight="1" x14ac:dyDescent="0.4">
      <c r="A40" s="9" t="s">
        <v>283</v>
      </c>
      <c r="B40" s="9" t="s">
        <v>147</v>
      </c>
      <c r="C40" s="9" t="s">
        <v>284</v>
      </c>
      <c r="D40" s="9" t="s">
        <v>285</v>
      </c>
      <c r="E40" s="9" t="s">
        <v>286</v>
      </c>
      <c r="F40" s="9" t="s">
        <v>287</v>
      </c>
      <c r="G40" s="10">
        <v>45103</v>
      </c>
      <c r="H40" s="10">
        <v>45715</v>
      </c>
      <c r="I40" s="9">
        <v>21</v>
      </c>
      <c r="J40" s="9" t="s">
        <v>100</v>
      </c>
      <c r="K40" s="9" t="s">
        <v>288</v>
      </c>
      <c r="L40" s="9"/>
      <c r="M40" s="2" t="e">
        <f t="array" aca="1" ref="M40" ca="1">"---Descriptif mission--- "&amp;CHAR(10)&amp;_xludf.textjoin(CHAR(10),FALSE,$A$1:$K$1&amp;": "&amp;A40:K40)</f>
        <v>#NAME?</v>
      </c>
      <c r="N40" s="18" t="str">
        <f ca="1">IFERROR(__xludf.DUMMYFUNCTION("AI($N$1,M40)"),"#NAME?")</f>
        <v>#NAME?</v>
      </c>
      <c r="O40" s="18" t="str">
        <f ca="1">IFERROR(__xludf.DUMMYFUNCTION("AI($O$1,M40)"),"#NAME?")</f>
        <v>#NAME?</v>
      </c>
      <c r="Q40" s="11" t="str">
        <f ca="1">IFERROR(__xludf.DUMMYFUNCTION("REGEXEXTRACT(N40,"" [0-9] "")"),"#NAME?")</f>
        <v>#NAME?</v>
      </c>
      <c r="R40" s="12" t="str">
        <f ca="1">IFERROR(__xludf.DUMMYFUNCTION("REGEXEXTRACT(O40,"" [ABCDEF] "")"),"#NAME?")</f>
        <v>#NAME?</v>
      </c>
      <c r="Z40" s="13" t="s">
        <v>29</v>
      </c>
      <c r="AA40" s="14">
        <v>3</v>
      </c>
      <c r="AB40" s="14">
        <v>1</v>
      </c>
      <c r="AC40" s="14">
        <v>3</v>
      </c>
      <c r="AD40" s="14">
        <v>7</v>
      </c>
      <c r="AE40" s="15"/>
    </row>
    <row r="41" spans="1:31" ht="408.75" customHeight="1" x14ac:dyDescent="0.4">
      <c r="A41" s="16" t="s">
        <v>289</v>
      </c>
      <c r="B41" s="16" t="s">
        <v>269</v>
      </c>
      <c r="C41" s="16" t="s">
        <v>290</v>
      </c>
      <c r="D41" s="16" t="s">
        <v>291</v>
      </c>
      <c r="E41" s="16" t="s">
        <v>292</v>
      </c>
      <c r="F41" s="16" t="s">
        <v>293</v>
      </c>
      <c r="G41" s="17">
        <v>45560</v>
      </c>
      <c r="H41" s="17">
        <v>45702</v>
      </c>
      <c r="I41" s="16">
        <v>6</v>
      </c>
      <c r="J41" s="16" t="s">
        <v>225</v>
      </c>
      <c r="K41" s="16" t="s">
        <v>294</v>
      </c>
      <c r="L41" s="16"/>
      <c r="M41" s="2" t="e">
        <f t="array" aca="1" ref="M41" ca="1">"---Descriptif mission--- "&amp;CHAR(10)&amp;_xludf.textjoin(CHAR(10),FALSE,$A$1:$K$1&amp;": "&amp;A41:K41)</f>
        <v>#NAME?</v>
      </c>
      <c r="N41" s="18" t="str">
        <f ca="1">IFERROR(__xludf.DUMMYFUNCTION("AI($N$1,M41)"),"#NAME?")</f>
        <v>#NAME?</v>
      </c>
      <c r="O41" s="18" t="str">
        <f ca="1">IFERROR(__xludf.DUMMYFUNCTION("AI($O$1,M41)"),"#NAME?")</f>
        <v>#NAME?</v>
      </c>
      <c r="Q41" s="11" t="str">
        <f ca="1">IFERROR(__xludf.DUMMYFUNCTION("REGEXEXTRACT(N41,"" [0-9] "")"),"#NAME?")</f>
        <v>#NAME?</v>
      </c>
      <c r="R41" s="12" t="str">
        <f ca="1">IFERROR(__xludf.DUMMYFUNCTION("REGEXEXTRACT(O41,"" [ABCDEF] "")"),"#NAME?")</f>
        <v>#NAME?</v>
      </c>
      <c r="Z41" s="19" t="s">
        <v>43</v>
      </c>
      <c r="AA41" s="14">
        <v>1</v>
      </c>
      <c r="AB41" s="14">
        <v>1</v>
      </c>
      <c r="AC41" s="14">
        <v>2</v>
      </c>
      <c r="AD41" s="14">
        <v>4</v>
      </c>
      <c r="AE41" s="15"/>
    </row>
    <row r="42" spans="1:31" ht="223.5" customHeight="1" x14ac:dyDescent="0.4">
      <c r="A42" s="9" t="s">
        <v>295</v>
      </c>
      <c r="B42" s="9" t="s">
        <v>296</v>
      </c>
      <c r="C42" s="9" t="s">
        <v>297</v>
      </c>
      <c r="D42" s="9" t="s">
        <v>298</v>
      </c>
      <c r="E42" s="9" t="s">
        <v>299</v>
      </c>
      <c r="F42" s="9" t="s">
        <v>300</v>
      </c>
      <c r="G42" s="10">
        <v>45474</v>
      </c>
      <c r="H42" s="10">
        <v>45684</v>
      </c>
      <c r="I42" s="9">
        <v>7</v>
      </c>
      <c r="J42" s="9" t="s">
        <v>100</v>
      </c>
      <c r="K42" s="9" t="s">
        <v>301</v>
      </c>
      <c r="L42" s="9"/>
      <c r="M42" s="2" t="e">
        <f t="array" aca="1" ref="M42" ca="1">"---Descriptif mission--- "&amp;CHAR(10)&amp;_xludf.textjoin(CHAR(10),FALSE,$A$1:$K$1&amp;": "&amp;A42:K42)</f>
        <v>#NAME?</v>
      </c>
      <c r="N42" s="18" t="str">
        <f ca="1">IFERROR(__xludf.DUMMYFUNCTION("AI($N$1,M42)"),"#NAME?")</f>
        <v>#NAME?</v>
      </c>
      <c r="O42" s="18" t="str">
        <f ca="1">IFERROR(__xludf.DUMMYFUNCTION("AI($O$1,M42)"),"#NAME?")</f>
        <v>#NAME?</v>
      </c>
      <c r="Q42" s="11" t="str">
        <f ca="1">IFERROR(__xludf.DUMMYFUNCTION("REGEXEXTRACT(N42,"" [0-9] "")"),"#NAME?")</f>
        <v>#NAME?</v>
      </c>
      <c r="R42" s="12" t="str">
        <f ca="1">IFERROR(__xludf.DUMMYFUNCTION("REGEXEXTRACT(O42,"" [ABCDEF] "")"),"#NAME?")</f>
        <v>#NAME?</v>
      </c>
      <c r="Z42" s="13" t="s">
        <v>29</v>
      </c>
      <c r="AA42" s="14">
        <v>2</v>
      </c>
      <c r="AB42" s="14">
        <v>1</v>
      </c>
      <c r="AC42" s="14">
        <v>2</v>
      </c>
      <c r="AD42" s="14">
        <v>5</v>
      </c>
      <c r="AE42" s="15"/>
    </row>
    <row r="43" spans="1:31" ht="270.75" customHeight="1" x14ac:dyDescent="0.4">
      <c r="A43" s="16" t="s">
        <v>302</v>
      </c>
      <c r="B43" s="16" t="s">
        <v>75</v>
      </c>
      <c r="C43" s="16" t="s">
        <v>155</v>
      </c>
      <c r="D43" s="16" t="s">
        <v>156</v>
      </c>
      <c r="E43" s="16" t="s">
        <v>303</v>
      </c>
      <c r="F43" s="16" t="s">
        <v>304</v>
      </c>
      <c r="G43" s="17">
        <v>45161</v>
      </c>
      <c r="H43" s="17">
        <v>45657</v>
      </c>
      <c r="I43" s="16">
        <v>17</v>
      </c>
      <c r="J43" s="16"/>
      <c r="K43" s="16" t="s">
        <v>305</v>
      </c>
      <c r="L43" s="16"/>
      <c r="M43" s="2" t="e">
        <f t="array" aca="1" ref="M43" ca="1">"---Descriptif mission--- "&amp;CHAR(10)&amp;_xludf.textjoin(CHAR(10),FALSE,$A$1:$K$1&amp;": "&amp;A43:K43)</f>
        <v>#NAME?</v>
      </c>
      <c r="N43" s="18" t="str">
        <f ca="1">IFERROR(__xludf.DUMMYFUNCTION("AI($N$1,M43)"),"#NAME?")</f>
        <v>#NAME?</v>
      </c>
      <c r="O43" s="18" t="str">
        <f ca="1">IFERROR(__xludf.DUMMYFUNCTION("AI($O$1,M43)"),"#NAME?")</f>
        <v>#NAME?</v>
      </c>
      <c r="Q43" s="11" t="str">
        <f ca="1">IFERROR(__xludf.DUMMYFUNCTION("REGEXEXTRACT(N43,"" [0-9] "")"),"#NAME?")</f>
        <v>#NAME?</v>
      </c>
      <c r="R43" s="12" t="str">
        <f ca="1">IFERROR(__xludf.DUMMYFUNCTION("REGEXEXTRACT(O43,"" [ABCDEF] "")"),"#NAME?")</f>
        <v>#NAME?</v>
      </c>
      <c r="Z43" s="13" t="s">
        <v>29</v>
      </c>
      <c r="AA43" s="14">
        <v>2</v>
      </c>
      <c r="AB43" s="14">
        <v>1</v>
      </c>
      <c r="AC43" s="14">
        <v>2</v>
      </c>
      <c r="AD43" s="14">
        <v>5</v>
      </c>
      <c r="AE43" s="15"/>
    </row>
    <row r="44" spans="1:31" ht="286.5" customHeight="1" x14ac:dyDescent="0.4">
      <c r="A44" s="9" t="s">
        <v>306</v>
      </c>
      <c r="B44" s="9" t="s">
        <v>214</v>
      </c>
      <c r="C44" s="9" t="s">
        <v>186</v>
      </c>
      <c r="D44" s="9" t="s">
        <v>307</v>
      </c>
      <c r="E44" s="9" t="s">
        <v>308</v>
      </c>
      <c r="F44" s="9" t="s">
        <v>309</v>
      </c>
      <c r="G44" s="10">
        <v>45446</v>
      </c>
      <c r="H44" s="10">
        <v>45657</v>
      </c>
      <c r="I44" s="9">
        <v>7</v>
      </c>
      <c r="J44" s="9"/>
      <c r="K44" s="9" t="s">
        <v>310</v>
      </c>
      <c r="L44" s="9"/>
      <c r="M44" s="2" t="e">
        <f t="array" aca="1" ref="M44" ca="1">"---Descriptif mission--- "&amp;CHAR(10)&amp;_xludf.textjoin(CHAR(10),FALSE,$A$1:$K$1&amp;": "&amp;A44:K44)</f>
        <v>#NAME?</v>
      </c>
      <c r="N44" s="18" t="str">
        <f ca="1">IFERROR(__xludf.DUMMYFUNCTION("AI($N$1,M44)"),"#NAME?")</f>
        <v>#NAME?</v>
      </c>
      <c r="O44" s="18" t="str">
        <f ca="1">IFERROR(__xludf.DUMMYFUNCTION("AI($O$1,M44)"),"#NAME?")</f>
        <v>#NAME?</v>
      </c>
      <c r="Q44" s="11" t="str">
        <f ca="1">IFERROR(__xludf.DUMMYFUNCTION("REGEXEXTRACT(N44,"" [0-9] "")"),"#NAME?")</f>
        <v>#NAME?</v>
      </c>
      <c r="R44" s="12" t="str">
        <f ca="1">IFERROR(__xludf.DUMMYFUNCTION("REGEXEXTRACT(O44,"" [ABCDEF] "")"),"#NAME?")</f>
        <v>#NAME?</v>
      </c>
      <c r="Z44" s="20" t="s">
        <v>58</v>
      </c>
      <c r="AA44" s="14">
        <v>1</v>
      </c>
      <c r="AB44" s="14">
        <v>0</v>
      </c>
      <c r="AC44" s="14">
        <v>0</v>
      </c>
      <c r="AD44" s="14">
        <v>1</v>
      </c>
      <c r="AE44" s="15"/>
    </row>
    <row r="45" spans="1:31" ht="160.5" customHeight="1" x14ac:dyDescent="0.4">
      <c r="A45" s="16" t="s">
        <v>116</v>
      </c>
      <c r="B45" s="16" t="s">
        <v>117</v>
      </c>
      <c r="C45" s="16" t="s">
        <v>118</v>
      </c>
      <c r="D45" s="16" t="s">
        <v>116</v>
      </c>
      <c r="E45" s="16" t="s">
        <v>311</v>
      </c>
      <c r="F45" s="16" t="s">
        <v>312</v>
      </c>
      <c r="G45" s="17">
        <v>45426</v>
      </c>
      <c r="H45" s="17">
        <v>45657</v>
      </c>
      <c r="I45" s="16">
        <v>8</v>
      </c>
      <c r="J45" s="16"/>
      <c r="K45" s="16" t="s">
        <v>313</v>
      </c>
      <c r="L45" s="16"/>
      <c r="M45" s="2" t="e">
        <f t="array" aca="1" ref="M45" ca="1">"---Descriptif mission--- "&amp;CHAR(10)&amp;_xludf.textjoin(CHAR(10),FALSE,$A$1:$K$1&amp;": "&amp;A45:K45)</f>
        <v>#NAME?</v>
      </c>
      <c r="N45" s="18" t="str">
        <f ca="1">IFERROR(__xludf.DUMMYFUNCTION("AI($N$1,M45)"),"#NAME?")</f>
        <v>#NAME?</v>
      </c>
      <c r="O45" s="18" t="str">
        <f ca="1">IFERROR(__xludf.DUMMYFUNCTION("AI($O$1,M45)"),"#NAME?")</f>
        <v>#NAME?</v>
      </c>
      <c r="Q45" s="11" t="str">
        <f ca="1">IFERROR(__xludf.DUMMYFUNCTION("REGEXEXTRACT(N45,"" [0-9] "")"),"#NAME?")</f>
        <v>#NAME?</v>
      </c>
      <c r="R45" s="12" t="str">
        <f ca="1">IFERROR(__xludf.DUMMYFUNCTION("REGEXEXTRACT(O45,"" [ABCDEF] "")"),"#NAME?")</f>
        <v>#NAME?</v>
      </c>
      <c r="Z45" s="19" t="s">
        <v>43</v>
      </c>
      <c r="AA45" s="14">
        <v>1</v>
      </c>
      <c r="AB45" s="14">
        <v>1</v>
      </c>
      <c r="AC45" s="14">
        <v>1</v>
      </c>
      <c r="AD45" s="14">
        <v>3</v>
      </c>
      <c r="AE45" s="15"/>
    </row>
    <row r="46" spans="1:31" ht="333.75" customHeight="1" x14ac:dyDescent="0.4">
      <c r="A46" s="9" t="s">
        <v>314</v>
      </c>
      <c r="B46" s="9" t="s">
        <v>315</v>
      </c>
      <c r="C46" s="9" t="s">
        <v>83</v>
      </c>
      <c r="D46" s="9" t="s">
        <v>314</v>
      </c>
      <c r="E46" s="9" t="s">
        <v>316</v>
      </c>
      <c r="F46" s="9" t="s">
        <v>317</v>
      </c>
      <c r="G46" s="10">
        <v>44592</v>
      </c>
      <c r="H46" s="10">
        <v>45657</v>
      </c>
      <c r="I46" s="9">
        <v>36</v>
      </c>
      <c r="J46" s="9" t="s">
        <v>135</v>
      </c>
      <c r="K46" s="9" t="s">
        <v>318</v>
      </c>
      <c r="L46" s="9"/>
      <c r="M46" s="2" t="e">
        <f t="array" aca="1" ref="M46" ca="1">"---Descriptif mission--- "&amp;CHAR(10)&amp;_xludf.textjoin(CHAR(10),FALSE,$A$1:$K$1&amp;": "&amp;A46:K46)</f>
        <v>#NAME?</v>
      </c>
      <c r="N46" s="18" t="str">
        <f ca="1">IFERROR(__xludf.DUMMYFUNCTION("AI($N$1,M46)"),"#NAME?")</f>
        <v>#NAME?</v>
      </c>
      <c r="O46" s="18" t="str">
        <f ca="1">IFERROR(__xludf.DUMMYFUNCTION("AI($O$1,M46)"),"#NAME?")</f>
        <v>#NAME?</v>
      </c>
      <c r="Q46" s="11" t="str">
        <f ca="1">IFERROR(__xludf.DUMMYFUNCTION("REGEXEXTRACT(N46,"" [0-9] "")"),"#NAME?")</f>
        <v>#NAME?</v>
      </c>
      <c r="R46" s="12" t="str">
        <f ca="1">IFERROR(__xludf.DUMMYFUNCTION("REGEXEXTRACT(O46,"" [ABCDEF] "")"),"#NAME?")</f>
        <v>#NAME?</v>
      </c>
      <c r="Z46" s="19" t="s">
        <v>43</v>
      </c>
      <c r="AA46" s="14">
        <v>1</v>
      </c>
      <c r="AB46" s="14">
        <v>0</v>
      </c>
      <c r="AC46" s="14">
        <v>2</v>
      </c>
      <c r="AD46" s="14">
        <v>3</v>
      </c>
      <c r="AE46" s="15"/>
    </row>
    <row r="47" spans="1:31" ht="318" customHeight="1" x14ac:dyDescent="0.4">
      <c r="A47" s="16" t="s">
        <v>319</v>
      </c>
      <c r="B47" s="16" t="s">
        <v>320</v>
      </c>
      <c r="C47" s="16" t="s">
        <v>321</v>
      </c>
      <c r="D47" s="16" t="s">
        <v>322</v>
      </c>
      <c r="E47" s="16" t="s">
        <v>323</v>
      </c>
      <c r="F47" s="16" t="s">
        <v>324</v>
      </c>
      <c r="G47" s="17">
        <v>44949</v>
      </c>
      <c r="H47" s="17">
        <v>45656</v>
      </c>
      <c r="I47" s="16">
        <v>24</v>
      </c>
      <c r="J47" s="16" t="s">
        <v>100</v>
      </c>
      <c r="K47" s="16" t="s">
        <v>325</v>
      </c>
      <c r="L47" s="16"/>
      <c r="M47" s="2" t="e">
        <f t="array" aca="1" ref="M47" ca="1">"---Descriptif mission--- "&amp;CHAR(10)&amp;_xludf.textjoin(CHAR(10),FALSE,$A$1:$K$1&amp;": "&amp;A47:K47)</f>
        <v>#NAME?</v>
      </c>
      <c r="N47" s="18" t="str">
        <f ca="1">IFERROR(__xludf.DUMMYFUNCTION("AI($N$1,M47)"),"#NAME?")</f>
        <v>#NAME?</v>
      </c>
      <c r="O47" s="18" t="str">
        <f ca="1">IFERROR(__xludf.DUMMYFUNCTION("AI($O$1,M47)"),"#NAME?")</f>
        <v>#NAME?</v>
      </c>
      <c r="Q47" s="11" t="str">
        <f ca="1">IFERROR(__xludf.DUMMYFUNCTION("REGEXEXTRACT(N47,"" [0-9] "")"),"#NAME?")</f>
        <v>#NAME?</v>
      </c>
      <c r="R47" s="12" t="str">
        <f ca="1">IFERROR(__xludf.DUMMYFUNCTION("REGEXEXTRACT(O47,"" [ABCDEF] "")"),"#NAME?")</f>
        <v>#NAME?</v>
      </c>
      <c r="Z47" s="19" t="s">
        <v>43</v>
      </c>
      <c r="AA47" s="14">
        <v>1</v>
      </c>
      <c r="AB47" s="14">
        <v>1</v>
      </c>
      <c r="AC47" s="14">
        <v>2</v>
      </c>
      <c r="AD47" s="14">
        <v>4</v>
      </c>
      <c r="AE47" s="15"/>
    </row>
    <row r="48" spans="1:31" ht="239.25" customHeight="1" x14ac:dyDescent="0.4">
      <c r="A48" s="9" t="s">
        <v>326</v>
      </c>
      <c r="B48" s="9" t="s">
        <v>327</v>
      </c>
      <c r="C48" s="9" t="s">
        <v>328</v>
      </c>
      <c r="D48" s="9" t="s">
        <v>329</v>
      </c>
      <c r="E48" s="9" t="s">
        <v>330</v>
      </c>
      <c r="F48" s="9" t="s">
        <v>331</v>
      </c>
      <c r="G48" s="10">
        <v>45587</v>
      </c>
      <c r="H48" s="10">
        <v>45646</v>
      </c>
      <c r="I48" s="9">
        <v>3</v>
      </c>
      <c r="J48" s="9" t="s">
        <v>114</v>
      </c>
      <c r="K48" s="9" t="s">
        <v>332</v>
      </c>
      <c r="L48" s="9"/>
      <c r="M48" s="2" t="e">
        <f t="array" aca="1" ref="M48" ca="1">"---Descriptif mission--- "&amp;CHAR(10)&amp;_xludf.textjoin(CHAR(10),FALSE,$A$1:$K$1&amp;": "&amp;A48:K48)</f>
        <v>#NAME?</v>
      </c>
      <c r="N48" s="18" t="str">
        <f ca="1">IFERROR(__xludf.DUMMYFUNCTION("AI($N$1,M48)"),"#NAME?")</f>
        <v>#NAME?</v>
      </c>
      <c r="O48" s="18" t="str">
        <f ca="1">IFERROR(__xludf.DUMMYFUNCTION("AI($O$1,M48)"),"#NAME?")</f>
        <v>#NAME?</v>
      </c>
      <c r="Q48" s="11" t="str">
        <f ca="1">IFERROR(__xludf.DUMMYFUNCTION("REGEXEXTRACT(N48,"" [0-9] "")"),"#NAME?")</f>
        <v>#NAME?</v>
      </c>
      <c r="R48" s="12" t="str">
        <f ca="1">IFERROR(__xludf.DUMMYFUNCTION("REGEXEXTRACT(O48,"" [ABCDEF] "")"),"#NAME?")</f>
        <v>#NAME?</v>
      </c>
      <c r="Z48" s="13" t="s">
        <v>29</v>
      </c>
      <c r="AA48" s="14">
        <v>3</v>
      </c>
      <c r="AB48" s="14">
        <v>1</v>
      </c>
      <c r="AC48" s="14">
        <v>2</v>
      </c>
      <c r="AD48" s="14">
        <v>6</v>
      </c>
      <c r="AE48" s="15"/>
    </row>
    <row r="49" spans="1:31" ht="408.75" customHeight="1" x14ac:dyDescent="0.4">
      <c r="A49" s="16" t="s">
        <v>333</v>
      </c>
      <c r="B49" s="16" t="s">
        <v>214</v>
      </c>
      <c r="C49" s="16" t="s">
        <v>334</v>
      </c>
      <c r="D49" s="16" t="s">
        <v>335</v>
      </c>
      <c r="E49" s="16" t="s">
        <v>336</v>
      </c>
      <c r="F49" s="16" t="s">
        <v>337</v>
      </c>
      <c r="G49" s="17">
        <v>45348</v>
      </c>
      <c r="H49" s="17">
        <v>45646</v>
      </c>
      <c r="I49" s="16">
        <v>11</v>
      </c>
      <c r="J49" s="16"/>
      <c r="K49" s="16" t="s">
        <v>338</v>
      </c>
      <c r="L49" s="16"/>
      <c r="M49" s="2" t="e">
        <f t="array" aca="1" ref="M49" ca="1">"---Descriptif mission--- "&amp;CHAR(10)&amp;_xludf.textjoin(CHAR(10),FALSE,$A$1:$K$1&amp;": "&amp;A49:K49)</f>
        <v>#NAME?</v>
      </c>
      <c r="N49" s="18" t="str">
        <f ca="1">IFERROR(__xludf.DUMMYFUNCTION("AI($N$1,M49)"),"#NAME?")</f>
        <v>#NAME?</v>
      </c>
      <c r="O49" s="18" t="str">
        <f ca="1">IFERROR(__xludf.DUMMYFUNCTION("AI($O$1,M49)"),"#NAME?")</f>
        <v>#NAME?</v>
      </c>
      <c r="Q49" s="11" t="str">
        <f ca="1">IFERROR(__xludf.DUMMYFUNCTION("REGEXEXTRACT(N49,"" [0-9] "")"),"#NAME?")</f>
        <v>#NAME?</v>
      </c>
      <c r="R49" s="12" t="str">
        <f ca="1">IFERROR(__xludf.DUMMYFUNCTION("REGEXEXTRACT(O49,"" [ABCDEF] "")"),"#NAME?")</f>
        <v>#NAME?</v>
      </c>
      <c r="Z49" s="19" t="s">
        <v>43</v>
      </c>
      <c r="AA49" s="14">
        <v>1</v>
      </c>
      <c r="AB49" s="14">
        <v>0</v>
      </c>
      <c r="AC49" s="14">
        <v>2</v>
      </c>
      <c r="AD49" s="14">
        <v>3</v>
      </c>
      <c r="AE49" s="15"/>
    </row>
    <row r="50" spans="1:31" ht="223.5" customHeight="1" x14ac:dyDescent="0.4">
      <c r="A50" s="9" t="s">
        <v>339</v>
      </c>
      <c r="B50" s="9" t="s">
        <v>109</v>
      </c>
      <c r="C50" s="9" t="s">
        <v>340</v>
      </c>
      <c r="D50" s="9" t="s">
        <v>341</v>
      </c>
      <c r="E50" s="9" t="s">
        <v>342</v>
      </c>
      <c r="F50" s="9" t="s">
        <v>343</v>
      </c>
      <c r="G50" s="10">
        <v>45355</v>
      </c>
      <c r="H50" s="10">
        <v>45646</v>
      </c>
      <c r="I50" s="9">
        <v>10</v>
      </c>
      <c r="J50" s="9" t="s">
        <v>274</v>
      </c>
      <c r="K50" s="9" t="s">
        <v>344</v>
      </c>
      <c r="L50" s="9"/>
      <c r="M50" s="2" t="e">
        <f t="array" aca="1" ref="M50" ca="1">"---Descriptif mission--- "&amp;CHAR(10)&amp;_xludf.textjoin(CHAR(10),FALSE,$A$1:$K$1&amp;": "&amp;A50:K50)</f>
        <v>#NAME?</v>
      </c>
      <c r="N50" s="18" t="str">
        <f ca="1">IFERROR(__xludf.DUMMYFUNCTION("AI($N$1,M50)"),"#NAME?")</f>
        <v>#NAME?</v>
      </c>
      <c r="O50" s="18" t="str">
        <f ca="1">IFERROR(__xludf.DUMMYFUNCTION("AI($O$1,M50)"),"#NAME?")</f>
        <v>#NAME?</v>
      </c>
      <c r="Q50" s="11" t="str">
        <f ca="1">IFERROR(__xludf.DUMMYFUNCTION("REGEXEXTRACT(N50,"" [0-9] "")"),"#NAME?")</f>
        <v>#NAME?</v>
      </c>
      <c r="R50" s="12" t="str">
        <f ca="1">IFERROR(__xludf.DUMMYFUNCTION("REGEXEXTRACT(O50,"" [ABCDEF] "")"),"#NAME?")</f>
        <v>#NAME?</v>
      </c>
      <c r="Z50" s="13" t="s">
        <v>29</v>
      </c>
      <c r="AA50" s="14">
        <v>3</v>
      </c>
      <c r="AB50" s="14">
        <v>1</v>
      </c>
      <c r="AC50" s="14">
        <v>3</v>
      </c>
      <c r="AD50" s="14">
        <v>7</v>
      </c>
      <c r="AE50" s="15"/>
    </row>
    <row r="51" spans="1:31" ht="176.25" customHeight="1" x14ac:dyDescent="0.4">
      <c r="A51" s="16" t="s">
        <v>345</v>
      </c>
      <c r="B51" s="16" t="s">
        <v>346</v>
      </c>
      <c r="C51" s="16" t="s">
        <v>347</v>
      </c>
      <c r="D51" s="16" t="s">
        <v>348</v>
      </c>
      <c r="E51" s="16" t="s">
        <v>349</v>
      </c>
      <c r="F51" s="16" t="s">
        <v>350</v>
      </c>
      <c r="G51" s="17">
        <v>45551</v>
      </c>
      <c r="H51" s="17">
        <v>45642</v>
      </c>
      <c r="I51" s="16">
        <v>4</v>
      </c>
      <c r="J51" s="16" t="s">
        <v>159</v>
      </c>
      <c r="K51" s="16" t="s">
        <v>351</v>
      </c>
      <c r="L51" s="16"/>
      <c r="M51" s="2" t="e">
        <f t="array" aca="1" ref="M51" ca="1">"---Descriptif mission--- "&amp;CHAR(10)&amp;_xludf.textjoin(CHAR(10),FALSE,$A$1:$K$1&amp;": "&amp;A51:K51)</f>
        <v>#NAME?</v>
      </c>
      <c r="N51" s="18" t="str">
        <f ca="1">IFERROR(__xludf.DUMMYFUNCTION("AI($N$1,M51)"),"#NAME?")</f>
        <v>#NAME?</v>
      </c>
      <c r="O51" s="18" t="str">
        <f ca="1">IFERROR(__xludf.DUMMYFUNCTION("AI($O$1,M51)"),"#NAME?")</f>
        <v>#NAME?</v>
      </c>
      <c r="Q51" s="11" t="str">
        <f ca="1">IFERROR(__xludf.DUMMYFUNCTION("REGEXEXTRACT(N51,"" [0-9] "")"),"#NAME?")</f>
        <v>#NAME?</v>
      </c>
      <c r="R51" s="12" t="str">
        <f ca="1">IFERROR(__xludf.DUMMYFUNCTION("REGEXEXTRACT(O51,"" [ABCDEF] "")"),"#NAME?")</f>
        <v>#NAME?</v>
      </c>
      <c r="Z51" s="13" t="s">
        <v>29</v>
      </c>
      <c r="AA51" s="14">
        <v>2</v>
      </c>
      <c r="AB51" s="14">
        <v>1</v>
      </c>
      <c r="AC51" s="14">
        <v>2</v>
      </c>
      <c r="AD51" s="14">
        <v>5</v>
      </c>
      <c r="AE51" s="15"/>
    </row>
    <row r="52" spans="1:31" ht="113.25" customHeight="1" x14ac:dyDescent="0.4">
      <c r="A52" s="9" t="s">
        <v>352</v>
      </c>
      <c r="B52" s="9" t="s">
        <v>353</v>
      </c>
      <c r="C52" s="9" t="s">
        <v>354</v>
      </c>
      <c r="D52" s="9" t="s">
        <v>355</v>
      </c>
      <c r="E52" s="9" t="s">
        <v>356</v>
      </c>
      <c r="F52" s="9" t="s">
        <v>357</v>
      </c>
      <c r="G52" s="10">
        <v>45446</v>
      </c>
      <c r="H52" s="10">
        <v>45628</v>
      </c>
      <c r="I52" s="9">
        <v>7</v>
      </c>
      <c r="J52" s="9"/>
      <c r="K52" s="9" t="s">
        <v>358</v>
      </c>
      <c r="L52" s="9"/>
      <c r="M52" s="2" t="e">
        <f t="array" aca="1" ref="M52" ca="1">"---Descriptif mission--- "&amp;CHAR(10)&amp;_xludf.textjoin(CHAR(10),FALSE,$A$1:$K$1&amp;": "&amp;A52:K52)</f>
        <v>#NAME?</v>
      </c>
      <c r="N52" s="18" t="str">
        <f ca="1">IFERROR(__xludf.DUMMYFUNCTION("AI($N$1,M52)"),"#NAME?")</f>
        <v>#NAME?</v>
      </c>
      <c r="O52" s="18" t="str">
        <f ca="1">IFERROR(__xludf.DUMMYFUNCTION("AI($O$1,M52)"),"#NAME?")</f>
        <v>#NAME?</v>
      </c>
      <c r="Q52" s="11" t="str">
        <f ca="1">IFERROR(__xludf.DUMMYFUNCTION("REGEXEXTRACT(N52,"" [0-9] "")"),"#NAME?")</f>
        <v>#NAME?</v>
      </c>
      <c r="R52" s="12" t="str">
        <f ca="1">IFERROR(__xludf.DUMMYFUNCTION("REGEXEXTRACT(O52,"" [ABCDEF] "")"),"#NAME?")</f>
        <v>#NAME?</v>
      </c>
      <c r="Z52" s="13" t="s">
        <v>29</v>
      </c>
      <c r="AA52" s="14">
        <v>3</v>
      </c>
      <c r="AB52" s="14">
        <v>1</v>
      </c>
      <c r="AC52" s="14">
        <v>1</v>
      </c>
      <c r="AD52" s="14">
        <v>5</v>
      </c>
      <c r="AE52" s="15"/>
    </row>
    <row r="53" spans="1:31" ht="223.5" customHeight="1" x14ac:dyDescent="0.4">
      <c r="A53" s="16" t="s">
        <v>359</v>
      </c>
      <c r="B53" s="16" t="s">
        <v>353</v>
      </c>
      <c r="C53" s="16" t="s">
        <v>360</v>
      </c>
      <c r="D53" s="16" t="s">
        <v>355</v>
      </c>
      <c r="E53" s="16" t="s">
        <v>361</v>
      </c>
      <c r="F53" s="16" t="s">
        <v>362</v>
      </c>
      <c r="G53" s="17">
        <v>45446</v>
      </c>
      <c r="H53" s="17">
        <v>45628</v>
      </c>
      <c r="I53" s="16">
        <v>7</v>
      </c>
      <c r="J53" s="16"/>
      <c r="K53" s="16" t="s">
        <v>363</v>
      </c>
      <c r="L53" s="16"/>
      <c r="M53" s="2" t="e">
        <f t="array" aca="1" ref="M53" ca="1">"---Descriptif mission--- "&amp;CHAR(10)&amp;_xludf.textjoin(CHAR(10),FALSE,$A$1:$K$1&amp;": "&amp;A53:K53)</f>
        <v>#NAME?</v>
      </c>
      <c r="N53" s="18" t="str">
        <f ca="1">IFERROR(__xludf.DUMMYFUNCTION("AI($N$1,M53)"),"#NAME?")</f>
        <v>#NAME?</v>
      </c>
      <c r="O53" s="18" t="str">
        <f ca="1">IFERROR(__xludf.DUMMYFUNCTION("AI($O$1,M53)"),"#NAME?")</f>
        <v>#NAME?</v>
      </c>
      <c r="Q53" s="11" t="str">
        <f ca="1">IFERROR(__xludf.DUMMYFUNCTION("REGEXEXTRACT(N53,"" [0-9] "")"),"#NAME?")</f>
        <v>#NAME?</v>
      </c>
      <c r="R53" s="12" t="str">
        <f ca="1">IFERROR(__xludf.DUMMYFUNCTION("REGEXEXTRACT(O53,"" [ABCDEF] "")"),"#NAME?")</f>
        <v>#NAME?</v>
      </c>
      <c r="Z53" s="13" t="s">
        <v>29</v>
      </c>
      <c r="AA53" s="14">
        <v>3</v>
      </c>
      <c r="AB53" s="14">
        <v>2</v>
      </c>
      <c r="AC53" s="14">
        <v>1</v>
      </c>
      <c r="AD53" s="14">
        <v>6</v>
      </c>
      <c r="AE53" s="15"/>
    </row>
    <row r="54" spans="1:31" ht="113.25" customHeight="1" x14ac:dyDescent="0.4">
      <c r="A54" s="9" t="s">
        <v>364</v>
      </c>
      <c r="B54" s="9" t="s">
        <v>365</v>
      </c>
      <c r="C54" s="9" t="s">
        <v>366</v>
      </c>
      <c r="D54" s="9" t="s">
        <v>367</v>
      </c>
      <c r="E54" s="9" t="s">
        <v>368</v>
      </c>
      <c r="F54" s="9" t="s">
        <v>369</v>
      </c>
      <c r="G54" s="10">
        <v>45425</v>
      </c>
      <c r="H54" s="10">
        <v>45625</v>
      </c>
      <c r="I54" s="9">
        <v>7</v>
      </c>
      <c r="J54" s="9" t="s">
        <v>159</v>
      </c>
      <c r="K54" s="9" t="s">
        <v>370</v>
      </c>
      <c r="L54" s="9"/>
      <c r="M54" s="2" t="e">
        <f t="array" aca="1" ref="M54" ca="1">"---Descriptif mission--- "&amp;CHAR(10)&amp;_xludf.textjoin(CHAR(10),FALSE,$A$1:$K$1&amp;": "&amp;A54:K54)</f>
        <v>#NAME?</v>
      </c>
      <c r="N54" s="18" t="str">
        <f ca="1">IFERROR(__xludf.DUMMYFUNCTION("AI($N$1,M54)"),"#NAME?")</f>
        <v>#NAME?</v>
      </c>
      <c r="O54" s="18" t="str">
        <f ca="1">IFERROR(__xludf.DUMMYFUNCTION("AI($O$1,M54)"),"#NAME?")</f>
        <v>#NAME?</v>
      </c>
      <c r="Q54" s="11" t="str">
        <f ca="1">IFERROR(__xludf.DUMMYFUNCTION("REGEXEXTRACT(N54,"" [0-9] "")"),"#NAME?")</f>
        <v>#NAME?</v>
      </c>
      <c r="R54" s="12" t="str">
        <f ca="1">IFERROR(__xludf.DUMMYFUNCTION("REGEXEXTRACT(O54,"" [ABCDEF] "")"),"#NAME?")</f>
        <v>#NAME?</v>
      </c>
      <c r="Z54" s="20" t="s">
        <v>58</v>
      </c>
      <c r="AA54" s="14">
        <v>1</v>
      </c>
      <c r="AB54" s="14">
        <v>0</v>
      </c>
      <c r="AC54" s="14">
        <v>1</v>
      </c>
      <c r="AD54" s="14">
        <v>2</v>
      </c>
      <c r="AE54" s="15"/>
    </row>
    <row r="55" spans="1:31" ht="318" customHeight="1" x14ac:dyDescent="0.4">
      <c r="A55" s="16" t="s">
        <v>371</v>
      </c>
      <c r="B55" s="16" t="s">
        <v>372</v>
      </c>
      <c r="C55" s="16" t="s">
        <v>373</v>
      </c>
      <c r="D55" s="16" t="s">
        <v>374</v>
      </c>
      <c r="E55" s="16" t="s">
        <v>375</v>
      </c>
      <c r="F55" s="16" t="s">
        <v>376</v>
      </c>
      <c r="G55" s="17">
        <v>44579</v>
      </c>
      <c r="H55" s="17">
        <v>45618</v>
      </c>
      <c r="I55" s="16">
        <v>35</v>
      </c>
      <c r="J55" s="16"/>
      <c r="K55" s="16" t="s">
        <v>377</v>
      </c>
      <c r="L55" s="16"/>
      <c r="M55" s="2" t="e">
        <f t="array" aca="1" ref="M55" ca="1">"---Descriptif mission--- "&amp;CHAR(10)&amp;_xludf.textjoin(CHAR(10),FALSE,$A$1:$K$1&amp;": "&amp;A55:K55)</f>
        <v>#NAME?</v>
      </c>
      <c r="N55" s="18" t="str">
        <f ca="1">IFERROR(__xludf.DUMMYFUNCTION("AI($N$1,M55)"),"#NAME?")</f>
        <v>#NAME?</v>
      </c>
      <c r="O55" s="18" t="str">
        <f ca="1">IFERROR(__xludf.DUMMYFUNCTION("AI($O$1,M55)"),"#NAME?")</f>
        <v>#NAME?</v>
      </c>
      <c r="Q55" s="11" t="str">
        <f ca="1">IFERROR(__xludf.DUMMYFUNCTION("REGEXEXTRACT(N55,"" [0-9] "")"),"#NAME?")</f>
        <v>#NAME?</v>
      </c>
      <c r="R55" s="12" t="str">
        <f ca="1">IFERROR(__xludf.DUMMYFUNCTION("REGEXEXTRACT(O55,"" [ABCDEF] "")"),"#NAME?")</f>
        <v>#NAME?</v>
      </c>
      <c r="Z55" s="19" t="s">
        <v>43</v>
      </c>
      <c r="AA55" s="14">
        <v>2</v>
      </c>
      <c r="AB55" s="14">
        <v>1</v>
      </c>
      <c r="AC55" s="14">
        <v>1</v>
      </c>
      <c r="AD55" s="14">
        <v>4</v>
      </c>
      <c r="AE55" s="15"/>
    </row>
    <row r="56" spans="1:31" ht="66" customHeight="1" x14ac:dyDescent="0.4">
      <c r="A56" s="9" t="s">
        <v>378</v>
      </c>
      <c r="B56" s="9" t="s">
        <v>68</v>
      </c>
      <c r="C56" s="9" t="s">
        <v>379</v>
      </c>
      <c r="D56" s="9" t="s">
        <v>380</v>
      </c>
      <c r="E56" s="9" t="s">
        <v>381</v>
      </c>
      <c r="F56" s="9" t="s">
        <v>382</v>
      </c>
      <c r="G56" s="10">
        <v>45593</v>
      </c>
      <c r="H56" s="10">
        <v>45604</v>
      </c>
      <c r="I56" s="9">
        <v>2</v>
      </c>
      <c r="J56" s="9" t="s">
        <v>114</v>
      </c>
      <c r="K56" s="9" t="s">
        <v>383</v>
      </c>
      <c r="L56" s="9"/>
      <c r="M56" s="2" t="e">
        <f t="array" aca="1" ref="M56" ca="1">"---Descriptif mission--- "&amp;CHAR(10)&amp;_xludf.textjoin(CHAR(10),FALSE,$A$1:$K$1&amp;": "&amp;A56:K56)</f>
        <v>#NAME?</v>
      </c>
      <c r="N56" s="18" t="str">
        <f ca="1">IFERROR(__xludf.DUMMYFUNCTION("AI($N$1,M56)"),"#NAME?")</f>
        <v>#NAME?</v>
      </c>
      <c r="O56" s="18" t="str">
        <f ca="1">IFERROR(__xludf.DUMMYFUNCTION("AI($O$1,M56)"),"#NAME?")</f>
        <v>#NAME?</v>
      </c>
      <c r="Q56" s="11" t="str">
        <f ca="1">IFERROR(__xludf.DUMMYFUNCTION("REGEXEXTRACT(N56,"" [0-9] "")"),"#NAME?")</f>
        <v>#NAME?</v>
      </c>
      <c r="R56" s="12" t="str">
        <f ca="1">IFERROR(__xludf.DUMMYFUNCTION("REGEXEXTRACT(O56,"" [ABCDEF] "")"),"#NAME?")</f>
        <v>#NAME?</v>
      </c>
      <c r="Z56" s="19" t="s">
        <v>43</v>
      </c>
      <c r="AA56" s="14">
        <v>3</v>
      </c>
      <c r="AB56" s="14">
        <v>1</v>
      </c>
      <c r="AC56" s="14">
        <v>0</v>
      </c>
      <c r="AD56" s="14">
        <v>4</v>
      </c>
      <c r="AE56" s="15"/>
    </row>
    <row r="57" spans="1:31" ht="176.25" customHeight="1" x14ac:dyDescent="0.4">
      <c r="A57" s="16" t="s">
        <v>384</v>
      </c>
      <c r="B57" s="16" t="s">
        <v>385</v>
      </c>
      <c r="C57" s="16" t="s">
        <v>83</v>
      </c>
      <c r="D57" s="16" t="s">
        <v>386</v>
      </c>
      <c r="E57" s="16" t="s">
        <v>387</v>
      </c>
      <c r="F57" s="16" t="s">
        <v>388</v>
      </c>
      <c r="G57" s="17">
        <v>45292</v>
      </c>
      <c r="H57" s="17">
        <v>45596</v>
      </c>
      <c r="I57" s="16">
        <v>10</v>
      </c>
      <c r="J57" s="16"/>
      <c r="K57" s="16" t="s">
        <v>389</v>
      </c>
      <c r="L57" s="16"/>
      <c r="M57" s="2" t="e">
        <f t="array" aca="1" ref="M57" ca="1">"---Descriptif mission--- "&amp;CHAR(10)&amp;_xludf.textjoin(CHAR(10),FALSE,$A$1:$K$1&amp;": "&amp;A57:K57)</f>
        <v>#NAME?</v>
      </c>
      <c r="N57" s="18" t="str">
        <f ca="1">IFERROR(__xludf.DUMMYFUNCTION("AI($N$1,M57)"),"#NAME?")</f>
        <v>#NAME?</v>
      </c>
      <c r="O57" s="18" t="str">
        <f ca="1">IFERROR(__xludf.DUMMYFUNCTION("AI($O$1,M57)"),"#NAME?")</f>
        <v>#NAME?</v>
      </c>
      <c r="Q57" s="11" t="str">
        <f ca="1">IFERROR(__xludf.DUMMYFUNCTION("REGEXEXTRACT(N57,"" [0-9] "")"),"#NAME?")</f>
        <v>#NAME?</v>
      </c>
      <c r="R57" s="12" t="str">
        <f ca="1">IFERROR(__xludf.DUMMYFUNCTION("REGEXEXTRACT(O57,"" [ABCDEF] "")"),"#NAME?")</f>
        <v>#NAME?</v>
      </c>
      <c r="Z57" s="13" t="s">
        <v>29</v>
      </c>
      <c r="AA57" s="14">
        <v>3</v>
      </c>
      <c r="AB57" s="14">
        <v>2</v>
      </c>
      <c r="AC57" s="14">
        <v>3</v>
      </c>
      <c r="AD57" s="14">
        <v>8</v>
      </c>
      <c r="AE57" s="15"/>
    </row>
    <row r="58" spans="1:31" ht="408.75" customHeight="1" x14ac:dyDescent="0.4">
      <c r="A58" s="9" t="s">
        <v>390</v>
      </c>
      <c r="B58" s="9" t="s">
        <v>109</v>
      </c>
      <c r="C58" s="9" t="s">
        <v>391</v>
      </c>
      <c r="D58" s="9" t="s">
        <v>392</v>
      </c>
      <c r="E58" s="9" t="s">
        <v>393</v>
      </c>
      <c r="F58" s="9" t="s">
        <v>394</v>
      </c>
      <c r="G58" s="10">
        <v>45306</v>
      </c>
      <c r="H58" s="10">
        <v>45565</v>
      </c>
      <c r="I58" s="9">
        <v>9</v>
      </c>
      <c r="J58" s="9" t="s">
        <v>135</v>
      </c>
      <c r="K58" s="9" t="s">
        <v>395</v>
      </c>
      <c r="L58" s="9"/>
      <c r="M58" s="2" t="e">
        <f t="array" aca="1" ref="M58" ca="1">"---Descriptif mission--- "&amp;CHAR(10)&amp;_xludf.textjoin(CHAR(10),FALSE,$A$1:$K$1&amp;": "&amp;A58:K58)</f>
        <v>#NAME?</v>
      </c>
      <c r="N58" s="18" t="str">
        <f ca="1">IFERROR(__xludf.DUMMYFUNCTION("AI($N$1,M58)"),"#NAME?")</f>
        <v>#NAME?</v>
      </c>
      <c r="O58" s="18" t="str">
        <f ca="1">IFERROR(__xludf.DUMMYFUNCTION("AI($O$1,M58)"),"#NAME?")</f>
        <v>#NAME?</v>
      </c>
      <c r="Q58" s="11" t="str">
        <f ca="1">IFERROR(__xludf.DUMMYFUNCTION("REGEXEXTRACT(N58,"" [0-9] "")"),"#NAME?")</f>
        <v>#NAME?</v>
      </c>
      <c r="R58" s="12" t="str">
        <f ca="1">IFERROR(__xludf.DUMMYFUNCTION("REGEXEXTRACT(O58,"" [ABCDEF] "")"),"#NAME?")</f>
        <v>#NAME?</v>
      </c>
      <c r="Z58" s="19" t="s">
        <v>43</v>
      </c>
      <c r="AA58" s="14">
        <v>1</v>
      </c>
      <c r="AB58" s="14">
        <v>0</v>
      </c>
      <c r="AC58" s="14">
        <v>2</v>
      </c>
      <c r="AD58" s="14">
        <v>3</v>
      </c>
      <c r="AE58" s="15"/>
    </row>
    <row r="59" spans="1:31" ht="129" customHeight="1" x14ac:dyDescent="0.4">
      <c r="A59" s="16" t="s">
        <v>396</v>
      </c>
      <c r="B59" s="16" t="s">
        <v>207</v>
      </c>
      <c r="C59" s="16" t="s">
        <v>397</v>
      </c>
      <c r="D59" s="16" t="s">
        <v>398</v>
      </c>
      <c r="E59" s="16" t="s">
        <v>399</v>
      </c>
      <c r="F59" s="16" t="s">
        <v>400</v>
      </c>
      <c r="G59" s="17">
        <v>45427</v>
      </c>
      <c r="H59" s="17">
        <v>45504</v>
      </c>
      <c r="I59" s="16">
        <v>3</v>
      </c>
      <c r="J59" s="16"/>
      <c r="K59" s="16" t="s">
        <v>401</v>
      </c>
      <c r="L59" s="16"/>
      <c r="M59" s="2" t="e">
        <f t="array" aca="1" ref="M59" ca="1">"---Descriptif mission--- "&amp;CHAR(10)&amp;_xludf.textjoin(CHAR(10),FALSE,$A$1:$K$1&amp;": "&amp;A59:K59)</f>
        <v>#NAME?</v>
      </c>
      <c r="N59" s="18" t="str">
        <f ca="1">IFERROR(__xludf.DUMMYFUNCTION("AI($N$1,M59)"),"#NAME?")</f>
        <v>#NAME?</v>
      </c>
      <c r="O59" s="18" t="str">
        <f ca="1">IFERROR(__xludf.DUMMYFUNCTION("AI($O$1,M59)"),"#NAME?")</f>
        <v>#NAME?</v>
      </c>
      <c r="Q59" s="11" t="str">
        <f ca="1">IFERROR(__xludf.DUMMYFUNCTION("REGEXEXTRACT(N59,"" [0-9] "")"),"#NAME?")</f>
        <v>#NAME?</v>
      </c>
      <c r="R59" s="12" t="str">
        <f ca="1">IFERROR(__xludf.DUMMYFUNCTION("REGEXEXTRACT(O59,"" [ABCDEF] "")"),"#NAME?")</f>
        <v>#NAME?</v>
      </c>
      <c r="Z59" s="22" t="s">
        <v>145</v>
      </c>
      <c r="AA59" s="14">
        <v>3</v>
      </c>
      <c r="AB59" s="14">
        <v>3</v>
      </c>
      <c r="AC59" s="14">
        <v>2</v>
      </c>
      <c r="AD59" s="14">
        <v>8</v>
      </c>
      <c r="AE59" s="15"/>
    </row>
    <row r="60" spans="1:31" ht="255" customHeight="1" x14ac:dyDescent="0.4">
      <c r="A60" s="9" t="s">
        <v>402</v>
      </c>
      <c r="B60" s="9" t="s">
        <v>403</v>
      </c>
      <c r="C60" s="9" t="s">
        <v>404</v>
      </c>
      <c r="D60" s="9" t="s">
        <v>405</v>
      </c>
      <c r="E60" s="9" t="s">
        <v>406</v>
      </c>
      <c r="F60" s="9" t="s">
        <v>407</v>
      </c>
      <c r="G60" s="10">
        <v>45187</v>
      </c>
      <c r="H60" s="10">
        <v>45471</v>
      </c>
      <c r="I60" s="9">
        <v>10</v>
      </c>
      <c r="J60" s="9" t="s">
        <v>65</v>
      </c>
      <c r="K60" s="9" t="s">
        <v>408</v>
      </c>
      <c r="L60" s="9"/>
      <c r="M60" s="2" t="e">
        <f t="array" aca="1" ref="M60" ca="1">"---Descriptif mission--- "&amp;CHAR(10)&amp;_xludf.textjoin(CHAR(10),FALSE,$A$1:$K$1&amp;": "&amp;A60:K60)</f>
        <v>#NAME?</v>
      </c>
      <c r="N60" s="18" t="str">
        <f ca="1">IFERROR(__xludf.DUMMYFUNCTION("AI($N$1,M60)"),"#NAME?")</f>
        <v>#NAME?</v>
      </c>
      <c r="O60" s="18" t="str">
        <f ca="1">IFERROR(__xludf.DUMMYFUNCTION("AI($O$1,M60)"),"#NAME?")</f>
        <v>#NAME?</v>
      </c>
      <c r="Q60" s="11" t="str">
        <f ca="1">IFERROR(__xludf.DUMMYFUNCTION("REGEXEXTRACT(N60,"" [0-9] "")"),"#NAME?")</f>
        <v>#NAME?</v>
      </c>
      <c r="R60" s="12" t="str">
        <f ca="1">IFERROR(__xludf.DUMMYFUNCTION("REGEXEXTRACT(O60,"" [ABCDEF] "")"),"#NAME?")</f>
        <v>#NAME?</v>
      </c>
      <c r="Z60" s="19" t="s">
        <v>43</v>
      </c>
      <c r="AA60" s="14">
        <v>2</v>
      </c>
      <c r="AB60" s="14">
        <v>1</v>
      </c>
      <c r="AC60" s="14">
        <v>1</v>
      </c>
      <c r="AD60" s="14">
        <v>4</v>
      </c>
      <c r="AE60" s="15"/>
    </row>
    <row r="61" spans="1:31" ht="239.25" customHeight="1" x14ac:dyDescent="0.4">
      <c r="A61" s="16" t="s">
        <v>409</v>
      </c>
      <c r="B61" s="16" t="s">
        <v>410</v>
      </c>
      <c r="C61" s="16" t="s">
        <v>411</v>
      </c>
      <c r="D61" s="16" t="s">
        <v>412</v>
      </c>
      <c r="E61" s="16" t="s">
        <v>413</v>
      </c>
      <c r="F61" s="16" t="s">
        <v>414</v>
      </c>
      <c r="G61" s="17">
        <v>45173</v>
      </c>
      <c r="H61" s="17">
        <v>45443</v>
      </c>
      <c r="I61" s="16">
        <v>9</v>
      </c>
      <c r="J61" s="16" t="s">
        <v>65</v>
      </c>
      <c r="K61" s="16" t="s">
        <v>415</v>
      </c>
      <c r="L61" s="16"/>
      <c r="M61" s="2" t="e">
        <f t="array" aca="1" ref="M61" ca="1">"---Descriptif mission--- "&amp;CHAR(10)&amp;_xludf.textjoin(CHAR(10),FALSE,$A$1:$K$1&amp;": "&amp;A61:K61)</f>
        <v>#NAME?</v>
      </c>
      <c r="N61" s="18" t="str">
        <f ca="1">IFERROR(__xludf.DUMMYFUNCTION("AI($N$1,M61)"),"#NAME?")</f>
        <v>#NAME?</v>
      </c>
      <c r="O61" s="18" t="str">
        <f ca="1">IFERROR(__xludf.DUMMYFUNCTION("AI($O$1,M61)"),"#NAME?")</f>
        <v>#NAME?</v>
      </c>
      <c r="Q61" s="11" t="str">
        <f ca="1">IFERROR(__xludf.DUMMYFUNCTION("REGEXEXTRACT(N61,"" [0-9] "")"),"#NAME?")</f>
        <v>#NAME?</v>
      </c>
      <c r="R61" s="12" t="str">
        <f ca="1">IFERROR(__xludf.DUMMYFUNCTION("REGEXEXTRACT(O61,"" [ABCDEF] "")"),"#NAME?")</f>
        <v>#NAME?</v>
      </c>
      <c r="Z61" s="19" t="s">
        <v>43</v>
      </c>
      <c r="AA61" s="14">
        <v>1</v>
      </c>
      <c r="AB61" s="14">
        <v>1</v>
      </c>
      <c r="AC61" s="14">
        <v>2</v>
      </c>
      <c r="AD61" s="14">
        <v>4</v>
      </c>
      <c r="AE61" s="15"/>
    </row>
    <row r="62" spans="1:31" ht="97.5" customHeight="1" x14ac:dyDescent="0.4">
      <c r="A62" s="9" t="s">
        <v>416</v>
      </c>
      <c r="B62" s="9" t="s">
        <v>417</v>
      </c>
      <c r="C62" s="9" t="s">
        <v>418</v>
      </c>
      <c r="D62" s="9" t="s">
        <v>419</v>
      </c>
      <c r="E62" s="9" t="s">
        <v>420</v>
      </c>
      <c r="F62" s="9" t="s">
        <v>421</v>
      </c>
      <c r="G62" s="10">
        <v>42614</v>
      </c>
      <c r="H62" s="10">
        <v>45443</v>
      </c>
      <c r="I62" s="9">
        <v>93</v>
      </c>
      <c r="J62" s="9"/>
      <c r="K62" s="9" t="s">
        <v>422</v>
      </c>
      <c r="L62" s="9"/>
      <c r="M62" s="2" t="e">
        <f t="array" aca="1" ref="M62" ca="1">"---Descriptif mission--- "&amp;CHAR(10)&amp;_xludf.textjoin(CHAR(10),FALSE,$A$1:$K$1&amp;": "&amp;A62:K62)</f>
        <v>#NAME?</v>
      </c>
      <c r="N62" s="18" t="str">
        <f ca="1">IFERROR(__xludf.DUMMYFUNCTION("AI($N$1,M62)"),"#NAME?")</f>
        <v>#NAME?</v>
      </c>
      <c r="O62" s="18" t="str">
        <f ca="1">IFERROR(__xludf.DUMMYFUNCTION("AI($O$1,M62)"),"#NAME?")</f>
        <v>#NAME?</v>
      </c>
      <c r="Q62" s="11" t="str">
        <f ca="1">IFERROR(__xludf.DUMMYFUNCTION("REGEXEXTRACT(N62,"" [0-9] "")"),"#NAME?")</f>
        <v>#NAME?</v>
      </c>
      <c r="R62" s="12" t="str">
        <f ca="1">IFERROR(__xludf.DUMMYFUNCTION("REGEXEXTRACT(O62,"" [ABCDEF] "")"),"#NAME?")</f>
        <v>#NAME?</v>
      </c>
      <c r="Z62" s="20" t="s">
        <v>58</v>
      </c>
      <c r="AA62" s="14">
        <v>1</v>
      </c>
      <c r="AB62" s="14">
        <v>1</v>
      </c>
      <c r="AC62" s="14">
        <v>0</v>
      </c>
      <c r="AD62" s="14">
        <v>2</v>
      </c>
      <c r="AE62" s="15"/>
    </row>
    <row r="63" spans="1:31" ht="144.75" customHeight="1" x14ac:dyDescent="0.4">
      <c r="A63" s="16" t="s">
        <v>423</v>
      </c>
      <c r="B63" s="16" t="s">
        <v>424</v>
      </c>
      <c r="C63" s="16" t="s">
        <v>425</v>
      </c>
      <c r="D63" s="16" t="s">
        <v>426</v>
      </c>
      <c r="E63" s="16" t="s">
        <v>427</v>
      </c>
      <c r="F63" s="16" t="s">
        <v>428</v>
      </c>
      <c r="G63" s="17">
        <v>44652</v>
      </c>
      <c r="H63" s="17">
        <v>45443</v>
      </c>
      <c r="I63" s="16">
        <v>26</v>
      </c>
      <c r="J63" s="16"/>
      <c r="K63" s="16" t="s">
        <v>429</v>
      </c>
      <c r="L63" s="16"/>
      <c r="M63" s="2" t="e">
        <f t="array" aca="1" ref="M63" ca="1">"---Descriptif mission--- "&amp;CHAR(10)&amp;_xludf.textjoin(CHAR(10),FALSE,$A$1:$K$1&amp;": "&amp;A63:K63)</f>
        <v>#NAME?</v>
      </c>
      <c r="N63" s="18" t="str">
        <f ca="1">IFERROR(__xludf.DUMMYFUNCTION("AI($N$1,M63)"),"#NAME?")</f>
        <v>#NAME?</v>
      </c>
      <c r="O63" s="18" t="str">
        <f ca="1">IFERROR(__xludf.DUMMYFUNCTION("AI($O$1,M63)"),"#NAME?")</f>
        <v>#NAME?</v>
      </c>
      <c r="Q63" s="11" t="str">
        <f ca="1">IFERROR(__xludf.DUMMYFUNCTION("REGEXEXTRACT(N63,"" [0-9] "")"),"#NAME?")</f>
        <v>#NAME?</v>
      </c>
      <c r="R63" s="12" t="str">
        <f ca="1">IFERROR(__xludf.DUMMYFUNCTION("REGEXEXTRACT(O63,"" [ABCDEF] "")"),"#NAME?")</f>
        <v>#NAME?</v>
      </c>
      <c r="Z63" s="22" t="s">
        <v>145</v>
      </c>
      <c r="AA63" s="14">
        <v>2</v>
      </c>
      <c r="AB63" s="14">
        <v>3</v>
      </c>
      <c r="AC63" s="14">
        <v>1</v>
      </c>
      <c r="AD63" s="14">
        <v>6</v>
      </c>
      <c r="AE63" s="15"/>
    </row>
    <row r="64" spans="1:31" ht="97.5" customHeight="1" x14ac:dyDescent="0.4">
      <c r="A64" s="9" t="s">
        <v>430</v>
      </c>
      <c r="B64" s="9" t="s">
        <v>431</v>
      </c>
      <c r="C64" s="9" t="s">
        <v>432</v>
      </c>
      <c r="D64" s="9" t="s">
        <v>433</v>
      </c>
      <c r="E64" s="9" t="s">
        <v>434</v>
      </c>
      <c r="F64" s="9" t="s">
        <v>435</v>
      </c>
      <c r="G64" s="10">
        <v>45027</v>
      </c>
      <c r="H64" s="10">
        <v>45432</v>
      </c>
      <c r="I64" s="9">
        <v>14</v>
      </c>
      <c r="J64" s="9"/>
      <c r="K64" s="9" t="s">
        <v>436</v>
      </c>
      <c r="L64" s="9"/>
      <c r="M64" s="2" t="e">
        <f t="array" aca="1" ref="M64" ca="1">"---Descriptif mission--- "&amp;CHAR(10)&amp;_xludf.textjoin(CHAR(10),FALSE,$A$1:$K$1&amp;": "&amp;A64:K64)</f>
        <v>#NAME?</v>
      </c>
      <c r="N64" s="18" t="str">
        <f ca="1">IFERROR(__xludf.DUMMYFUNCTION("AI($N$1,M64)"),"#NAME?")</f>
        <v>#NAME?</v>
      </c>
      <c r="O64" s="18" t="str">
        <f ca="1">IFERROR(__xludf.DUMMYFUNCTION("AI($O$1,M64)"),"#NAME?")</f>
        <v>#NAME?</v>
      </c>
      <c r="Q64" s="11" t="str">
        <f ca="1">IFERROR(__xludf.DUMMYFUNCTION("REGEXEXTRACT(N64,"" [0-9] "")"),"#NAME?")</f>
        <v>#NAME?</v>
      </c>
      <c r="R64" s="12" t="str">
        <f ca="1">IFERROR(__xludf.DUMMYFUNCTION("REGEXEXTRACT(O64,"" [ABCDEF] "")"),"#NAME?")</f>
        <v>#NAME?</v>
      </c>
      <c r="Z64" s="19" t="s">
        <v>43</v>
      </c>
      <c r="AA64" s="14">
        <v>1</v>
      </c>
      <c r="AB64" s="14">
        <v>1</v>
      </c>
      <c r="AC64" s="14">
        <v>1</v>
      </c>
      <c r="AD64" s="14">
        <v>3</v>
      </c>
      <c r="AE64" s="15"/>
    </row>
    <row r="65" spans="1:31" ht="97.5" customHeight="1" x14ac:dyDescent="0.4">
      <c r="A65" s="16" t="s">
        <v>437</v>
      </c>
      <c r="B65" s="16" t="s">
        <v>438</v>
      </c>
      <c r="C65" s="16" t="s">
        <v>439</v>
      </c>
      <c r="D65" s="16" t="s">
        <v>440</v>
      </c>
      <c r="E65" s="16" t="s">
        <v>441</v>
      </c>
      <c r="F65" s="16" t="s">
        <v>442</v>
      </c>
      <c r="G65" s="17">
        <v>44795</v>
      </c>
      <c r="H65" s="17">
        <v>45415</v>
      </c>
      <c r="I65" s="16">
        <v>22</v>
      </c>
      <c r="J65" s="16"/>
      <c r="K65" s="16" t="s">
        <v>443</v>
      </c>
      <c r="L65" s="16"/>
      <c r="M65" s="2" t="e">
        <f t="array" aca="1" ref="M65" ca="1">"---Descriptif mission--- "&amp;CHAR(10)&amp;_xludf.textjoin(CHAR(10),FALSE,$A$1:$K$1&amp;": "&amp;A65:K65)</f>
        <v>#NAME?</v>
      </c>
      <c r="N65" s="18" t="str">
        <f ca="1">IFERROR(__xludf.DUMMYFUNCTION("AI($N$1,M65)"),"#NAME?")</f>
        <v>#NAME?</v>
      </c>
      <c r="O65" s="18" t="str">
        <f ca="1">IFERROR(__xludf.DUMMYFUNCTION("AI($O$1,M65)"),"#NAME?")</f>
        <v>#NAME?</v>
      </c>
      <c r="Q65" s="11" t="str">
        <f ca="1">IFERROR(__xludf.DUMMYFUNCTION("REGEXEXTRACT(N65,"" [0-9] "")"),"#NAME?")</f>
        <v>#NAME?</v>
      </c>
      <c r="R65" s="12" t="str">
        <f ca="1">IFERROR(__xludf.DUMMYFUNCTION("REGEXEXTRACT(O65,"" [ABCDEF] "")"),"#NAME?")</f>
        <v>#NAME?</v>
      </c>
      <c r="Z65" s="13" t="s">
        <v>29</v>
      </c>
      <c r="AA65" s="14">
        <v>2</v>
      </c>
      <c r="AB65" s="14">
        <v>1</v>
      </c>
      <c r="AC65" s="14">
        <v>2</v>
      </c>
      <c r="AD65" s="14">
        <v>5</v>
      </c>
      <c r="AE65" s="15"/>
    </row>
    <row r="66" spans="1:31" ht="144.75" customHeight="1" x14ac:dyDescent="0.4">
      <c r="A66" s="9" t="s">
        <v>444</v>
      </c>
      <c r="B66" s="9" t="s">
        <v>147</v>
      </c>
      <c r="C66" s="9" t="s">
        <v>83</v>
      </c>
      <c r="D66" s="9" t="s">
        <v>445</v>
      </c>
      <c r="E66" s="9" t="s">
        <v>446</v>
      </c>
      <c r="F66" s="9" t="s">
        <v>447</v>
      </c>
      <c r="G66" s="10">
        <v>45201</v>
      </c>
      <c r="H66" s="10">
        <v>45380</v>
      </c>
      <c r="I66" s="9">
        <v>6</v>
      </c>
      <c r="J66" s="9" t="s">
        <v>100</v>
      </c>
      <c r="K66" s="9" t="s">
        <v>448</v>
      </c>
      <c r="L66" s="9"/>
      <c r="M66" s="2" t="e">
        <f t="array" aca="1" ref="M66" ca="1">"---Descriptif mission--- "&amp;CHAR(10)&amp;_xludf.textjoin(CHAR(10),FALSE,$A$1:$K$1&amp;": "&amp;A66:K66)</f>
        <v>#NAME?</v>
      </c>
      <c r="N66" s="18" t="str">
        <f ca="1">IFERROR(__xludf.DUMMYFUNCTION("AI($N$1,M66)"),"#NAME?")</f>
        <v>#NAME?</v>
      </c>
      <c r="O66" s="18" t="str">
        <f ca="1">IFERROR(__xludf.DUMMYFUNCTION("AI($O$1,M66)"),"#NAME?")</f>
        <v>#NAME?</v>
      </c>
      <c r="Q66" s="11" t="str">
        <f ca="1">IFERROR(__xludf.DUMMYFUNCTION("REGEXEXTRACT(N66,"" [0-9] "")"),"#NAME?")</f>
        <v>#NAME?</v>
      </c>
      <c r="R66" s="12" t="str">
        <f ca="1">IFERROR(__xludf.DUMMYFUNCTION("REGEXEXTRACT(O66,"" [ABCDEF] "")"),"#NAME?")</f>
        <v>#NAME?</v>
      </c>
      <c r="Z66" s="13" t="s">
        <v>29</v>
      </c>
      <c r="AA66" s="14">
        <v>3</v>
      </c>
      <c r="AB66" s="14">
        <v>1</v>
      </c>
      <c r="AC66" s="14">
        <v>2</v>
      </c>
      <c r="AD66" s="14">
        <v>6</v>
      </c>
      <c r="AE66" s="15"/>
    </row>
    <row r="67" spans="1:31" ht="207.75" customHeight="1" x14ac:dyDescent="0.4">
      <c r="A67" s="16" t="s">
        <v>21</v>
      </c>
      <c r="B67" s="16" t="s">
        <v>449</v>
      </c>
      <c r="C67" s="16" t="s">
        <v>450</v>
      </c>
      <c r="D67" s="16" t="s">
        <v>451</v>
      </c>
      <c r="E67" s="16" t="s">
        <v>452</v>
      </c>
      <c r="F67" s="16" t="s">
        <v>453</v>
      </c>
      <c r="G67" s="17">
        <v>45352</v>
      </c>
      <c r="H67" s="17">
        <v>45380</v>
      </c>
      <c r="I67" s="16">
        <v>1</v>
      </c>
      <c r="J67" s="16"/>
      <c r="K67" s="16" t="s">
        <v>454</v>
      </c>
      <c r="L67" s="16"/>
      <c r="M67" s="2" t="e">
        <f t="array" aca="1" ref="M67" ca="1">"---Descriptif mission--- "&amp;CHAR(10)&amp;_xludf.textjoin(CHAR(10),FALSE,$A$1:$K$1&amp;": "&amp;A67:K67)</f>
        <v>#NAME?</v>
      </c>
      <c r="N67" s="18" t="str">
        <f ca="1">IFERROR(__xludf.DUMMYFUNCTION("AI($N$1,M67)"),"#NAME?")</f>
        <v>#NAME?</v>
      </c>
      <c r="O67" s="18" t="str">
        <f ca="1">IFERROR(__xludf.DUMMYFUNCTION("AI($O$1,M67)"),"#NAME?")</f>
        <v>#NAME?</v>
      </c>
      <c r="Q67" s="11" t="str">
        <f ca="1">IFERROR(__xludf.DUMMYFUNCTION("REGEXEXTRACT(N67,"" [0-9] "")"),"#NAME?")</f>
        <v>#NAME?</v>
      </c>
      <c r="R67" s="12" t="str">
        <f ca="1">IFERROR(__xludf.DUMMYFUNCTION("REGEXEXTRACT(O67,"" [ABCDEF] "")"),"#NAME?")</f>
        <v>#NAME?</v>
      </c>
      <c r="Z67" s="20" t="s">
        <v>58</v>
      </c>
      <c r="AA67" s="14">
        <v>1</v>
      </c>
      <c r="AB67" s="14">
        <v>0</v>
      </c>
      <c r="AC67" s="14">
        <v>0</v>
      </c>
      <c r="AD67" s="14">
        <v>1</v>
      </c>
      <c r="AE67" s="15"/>
    </row>
    <row r="68" spans="1:31" ht="192" customHeight="1" x14ac:dyDescent="0.4">
      <c r="A68" s="9" t="s">
        <v>455</v>
      </c>
      <c r="B68" s="9" t="s">
        <v>315</v>
      </c>
      <c r="C68" s="9" t="s">
        <v>456</v>
      </c>
      <c r="D68" s="9" t="s">
        <v>457</v>
      </c>
      <c r="E68" s="9" t="s">
        <v>458</v>
      </c>
      <c r="F68" s="9" t="s">
        <v>459</v>
      </c>
      <c r="G68" s="10">
        <v>45351</v>
      </c>
      <c r="H68" s="10">
        <v>45366</v>
      </c>
      <c r="I68" s="9">
        <v>2</v>
      </c>
      <c r="J68" s="9" t="s">
        <v>100</v>
      </c>
      <c r="K68" s="9" t="s">
        <v>460</v>
      </c>
      <c r="L68" s="9"/>
      <c r="M68" s="2" t="e">
        <f t="array" aca="1" ref="M68" ca="1">"---Descriptif mission--- "&amp;CHAR(10)&amp;_xludf.textjoin(CHAR(10),FALSE,$A$1:$K$1&amp;": "&amp;A68:K68)</f>
        <v>#NAME?</v>
      </c>
      <c r="N68" s="18" t="str">
        <f ca="1">IFERROR(__xludf.DUMMYFUNCTION("AI($N$1,M68)"),"#NAME?")</f>
        <v>#NAME?</v>
      </c>
      <c r="O68" s="18" t="str">
        <f ca="1">IFERROR(__xludf.DUMMYFUNCTION("AI($O$1,M68)"),"#NAME?")</f>
        <v>#NAME?</v>
      </c>
      <c r="Q68" s="11" t="str">
        <f ca="1">IFERROR(__xludf.DUMMYFUNCTION("REGEXEXTRACT(N68,"" [0-9] "")"),"#NAME?")</f>
        <v>#NAME?</v>
      </c>
      <c r="R68" s="12" t="str">
        <f ca="1">IFERROR(__xludf.DUMMYFUNCTION("REGEXEXTRACT(O68,"" [ABCDEF] "")"),"#NAME?")</f>
        <v>#NAME?</v>
      </c>
      <c r="Z68" s="20" t="s">
        <v>58</v>
      </c>
      <c r="AA68" s="14">
        <v>1</v>
      </c>
      <c r="AB68" s="14">
        <v>0</v>
      </c>
      <c r="AC68" s="14">
        <v>0</v>
      </c>
      <c r="AD68" s="14">
        <v>1</v>
      </c>
      <c r="AE68" s="15"/>
    </row>
    <row r="69" spans="1:31" ht="255" customHeight="1" x14ac:dyDescent="0.4">
      <c r="A69" s="16" t="s">
        <v>239</v>
      </c>
      <c r="B69" s="16" t="s">
        <v>315</v>
      </c>
      <c r="C69" s="16" t="s">
        <v>461</v>
      </c>
      <c r="D69" s="16" t="s">
        <v>462</v>
      </c>
      <c r="E69" s="16" t="s">
        <v>463</v>
      </c>
      <c r="F69" s="16" t="s">
        <v>464</v>
      </c>
      <c r="G69" s="17">
        <v>45351</v>
      </c>
      <c r="H69" s="17">
        <v>45366</v>
      </c>
      <c r="I69" s="16">
        <v>2</v>
      </c>
      <c r="J69" s="16" t="s">
        <v>251</v>
      </c>
      <c r="K69" s="16" t="s">
        <v>465</v>
      </c>
      <c r="L69" s="16"/>
      <c r="M69" s="2" t="e">
        <f t="array" aca="1" ref="M69" ca="1">"---Descriptif mission--- "&amp;CHAR(10)&amp;_xludf.textjoin(CHAR(10),FALSE,$A$1:$K$1&amp;": "&amp;A69:K69)</f>
        <v>#NAME?</v>
      </c>
      <c r="N69" s="18" t="str">
        <f ca="1">IFERROR(__xludf.DUMMYFUNCTION("AI($N$1,M69)"),"#NAME?")</f>
        <v>#NAME?</v>
      </c>
      <c r="O69" s="18" t="str">
        <f ca="1">IFERROR(__xludf.DUMMYFUNCTION("AI($O$1,M69)"),"#NAME?")</f>
        <v>#NAME?</v>
      </c>
      <c r="Q69" s="11" t="str">
        <f ca="1">IFERROR(__xludf.DUMMYFUNCTION("REGEXEXTRACT(N69,"" [0-9] "")"),"#NAME?")</f>
        <v>#NAME?</v>
      </c>
      <c r="R69" s="12" t="str">
        <f ca="1">IFERROR(__xludf.DUMMYFUNCTION("REGEXEXTRACT(O69,"" [ABCDEF] "")"),"#NAME?")</f>
        <v>#NAME?</v>
      </c>
      <c r="Z69" s="20" t="s">
        <v>58</v>
      </c>
      <c r="AA69" s="14">
        <v>1</v>
      </c>
      <c r="AB69" s="14">
        <v>0</v>
      </c>
      <c r="AC69" s="14">
        <v>0</v>
      </c>
      <c r="AD69" s="14">
        <v>1</v>
      </c>
      <c r="AE69" s="15"/>
    </row>
    <row r="70" spans="1:31" ht="223.5" customHeight="1" x14ac:dyDescent="0.4">
      <c r="A70" s="9" t="s">
        <v>466</v>
      </c>
      <c r="B70" s="9" t="s">
        <v>89</v>
      </c>
      <c r="C70" s="9" t="s">
        <v>467</v>
      </c>
      <c r="D70" s="9" t="s">
        <v>468</v>
      </c>
      <c r="E70" s="9" t="s">
        <v>469</v>
      </c>
      <c r="F70" s="9" t="s">
        <v>470</v>
      </c>
      <c r="G70" s="10">
        <v>44607</v>
      </c>
      <c r="H70" s="10">
        <v>45317</v>
      </c>
      <c r="I70" s="9">
        <v>24</v>
      </c>
      <c r="J70" s="9" t="s">
        <v>65</v>
      </c>
      <c r="K70" s="9" t="s">
        <v>471</v>
      </c>
      <c r="L70" s="9"/>
      <c r="M70" s="2" t="e">
        <f t="array" aca="1" ref="M70" ca="1">"---Descriptif mission--- "&amp;CHAR(10)&amp;_xludf.textjoin(CHAR(10),FALSE,$A$1:$K$1&amp;": "&amp;A70:K70)</f>
        <v>#NAME?</v>
      </c>
      <c r="N70" s="18" t="str">
        <f ca="1">IFERROR(__xludf.DUMMYFUNCTION("AI($N$1,M70)"),"#NAME?")</f>
        <v>#NAME?</v>
      </c>
      <c r="O70" s="18" t="str">
        <f ca="1">IFERROR(__xludf.DUMMYFUNCTION("AI($O$1,M70)"),"#NAME?")</f>
        <v>#NAME?</v>
      </c>
      <c r="Q70" s="11" t="str">
        <f ca="1">IFERROR(__xludf.DUMMYFUNCTION("REGEXEXTRACT(N70,"" [0-9] "")"),"#NAME?")</f>
        <v>#NAME?</v>
      </c>
      <c r="R70" s="12" t="str">
        <f ca="1">IFERROR(__xludf.DUMMYFUNCTION("REGEXEXTRACT(O70,"" [ABCDEF] "")"),"#NAME?")</f>
        <v>#NAME?</v>
      </c>
      <c r="Z70" s="13" t="s">
        <v>29</v>
      </c>
      <c r="AA70" s="14">
        <v>2</v>
      </c>
      <c r="AB70" s="14">
        <v>1</v>
      </c>
      <c r="AC70" s="14">
        <v>2</v>
      </c>
      <c r="AD70" s="14">
        <v>5</v>
      </c>
      <c r="AE70" s="15"/>
    </row>
    <row r="71" spans="1:31" ht="160.5" customHeight="1" x14ac:dyDescent="0.4">
      <c r="A71" s="16" t="s">
        <v>472</v>
      </c>
      <c r="B71" s="16" t="s">
        <v>44</v>
      </c>
      <c r="C71" s="16" t="s">
        <v>473</v>
      </c>
      <c r="D71" s="16" t="s">
        <v>474</v>
      </c>
      <c r="E71" s="16" t="s">
        <v>475</v>
      </c>
      <c r="F71" s="16" t="s">
        <v>476</v>
      </c>
      <c r="G71" s="17">
        <v>45184</v>
      </c>
      <c r="H71" s="17">
        <v>45289</v>
      </c>
      <c r="I71" s="16">
        <v>4</v>
      </c>
      <c r="J71" s="16" t="s">
        <v>100</v>
      </c>
      <c r="K71" s="16" t="s">
        <v>477</v>
      </c>
      <c r="L71" s="16"/>
      <c r="M71" s="2" t="e">
        <f t="array" aca="1" ref="M71" ca="1">"---Descriptif mission--- "&amp;CHAR(10)&amp;_xludf.textjoin(CHAR(10),FALSE,$A$1:$K$1&amp;": "&amp;A71:K71)</f>
        <v>#NAME?</v>
      </c>
      <c r="N71" s="18" t="str">
        <f ca="1">IFERROR(__xludf.DUMMYFUNCTION("AI($N$1,M71)"),"#NAME?")</f>
        <v>#NAME?</v>
      </c>
      <c r="O71" s="18" t="str">
        <f ca="1">IFERROR(__xludf.DUMMYFUNCTION("AI($O$1,M71)"),"#NAME?")</f>
        <v>#NAME?</v>
      </c>
      <c r="Q71" s="11" t="str">
        <f ca="1">IFERROR(__xludf.DUMMYFUNCTION("REGEXEXTRACT(N71,"" [0-9] "")"),"#NAME?")</f>
        <v>#NAME?</v>
      </c>
      <c r="R71" s="12" t="str">
        <f ca="1">IFERROR(__xludf.DUMMYFUNCTION("REGEXEXTRACT(O71,"" [ABCDEF] "")"),"#NAME?")</f>
        <v>#NAME?</v>
      </c>
      <c r="Z71" s="19" t="s">
        <v>43</v>
      </c>
      <c r="AA71" s="14">
        <v>2</v>
      </c>
      <c r="AB71" s="14">
        <v>1</v>
      </c>
      <c r="AC71" s="14">
        <v>1</v>
      </c>
      <c r="AD71" s="14">
        <v>4</v>
      </c>
      <c r="AE71" s="15"/>
    </row>
    <row r="72" spans="1:31" ht="239.25" customHeight="1" x14ac:dyDescent="0.4">
      <c r="A72" s="9" t="s">
        <v>478</v>
      </c>
      <c r="B72" s="9" t="s">
        <v>327</v>
      </c>
      <c r="C72" s="9" t="s">
        <v>479</v>
      </c>
      <c r="D72" s="9" t="s">
        <v>480</v>
      </c>
      <c r="E72" s="9" t="s">
        <v>481</v>
      </c>
      <c r="F72" s="9" t="s">
        <v>482</v>
      </c>
      <c r="G72" s="10">
        <v>45201</v>
      </c>
      <c r="H72" s="10">
        <v>45289</v>
      </c>
      <c r="I72" s="9">
        <v>3</v>
      </c>
      <c r="J72" s="9" t="s">
        <v>114</v>
      </c>
      <c r="K72" s="9" t="s">
        <v>483</v>
      </c>
      <c r="L72" s="9"/>
      <c r="M72" s="2" t="e">
        <f t="array" aca="1" ref="M72" ca="1">"---Descriptif mission--- "&amp;CHAR(10)&amp;_xludf.textjoin(CHAR(10),FALSE,$A$1:$K$1&amp;": "&amp;A72:K72)</f>
        <v>#NAME?</v>
      </c>
      <c r="N72" s="18" t="str">
        <f ca="1">IFERROR(__xludf.DUMMYFUNCTION("AI($N$1,M72)"),"#NAME?")</f>
        <v>#NAME?</v>
      </c>
      <c r="O72" s="18" t="str">
        <f ca="1">IFERROR(__xludf.DUMMYFUNCTION("AI($O$1,M72)"),"#NAME?")</f>
        <v>#NAME?</v>
      </c>
      <c r="Q72" s="11" t="str">
        <f ca="1">IFERROR(__xludf.DUMMYFUNCTION("REGEXEXTRACT(N72,"" [0-9] "")"),"#NAME?")</f>
        <v>#NAME?</v>
      </c>
      <c r="R72" s="12" t="str">
        <f ca="1">IFERROR(__xludf.DUMMYFUNCTION("REGEXEXTRACT(O72,"" [ABCDEF] "")"),"#NAME?")</f>
        <v>#NAME?</v>
      </c>
      <c r="Z72" s="13" t="s">
        <v>29</v>
      </c>
      <c r="AA72" s="14">
        <v>3</v>
      </c>
      <c r="AB72" s="14">
        <v>1</v>
      </c>
      <c r="AC72" s="14">
        <v>2</v>
      </c>
      <c r="AD72" s="14">
        <v>6</v>
      </c>
      <c r="AE72" s="15"/>
    </row>
    <row r="73" spans="1:31" ht="270.75" customHeight="1" x14ac:dyDescent="0.4">
      <c r="A73" s="16" t="s">
        <v>484</v>
      </c>
      <c r="B73" s="16" t="s">
        <v>75</v>
      </c>
      <c r="C73" s="16" t="s">
        <v>485</v>
      </c>
      <c r="D73" s="16" t="s">
        <v>156</v>
      </c>
      <c r="E73" s="16" t="s">
        <v>486</v>
      </c>
      <c r="F73" s="16" t="s">
        <v>487</v>
      </c>
      <c r="G73" s="17">
        <v>44944</v>
      </c>
      <c r="H73" s="17">
        <v>45289</v>
      </c>
      <c r="I73" s="16">
        <v>12</v>
      </c>
      <c r="J73" s="16" t="s">
        <v>100</v>
      </c>
      <c r="K73" s="16" t="s">
        <v>488</v>
      </c>
      <c r="L73" s="16"/>
      <c r="M73" s="2" t="e">
        <f t="array" aca="1" ref="M73" ca="1">"---Descriptif mission--- "&amp;CHAR(10)&amp;_xludf.textjoin(CHAR(10),FALSE,$A$1:$K$1&amp;": "&amp;A73:K73)</f>
        <v>#NAME?</v>
      </c>
      <c r="N73" s="18" t="str">
        <f ca="1">IFERROR(__xludf.DUMMYFUNCTION("AI($N$1,M73)"),"#NAME?")</f>
        <v>#NAME?</v>
      </c>
      <c r="O73" s="18" t="str">
        <f ca="1">IFERROR(__xludf.DUMMYFUNCTION("AI($O$1,M73)"),"#NAME?")</f>
        <v>#NAME?</v>
      </c>
      <c r="Q73" s="11" t="str">
        <f ca="1">IFERROR(__xludf.DUMMYFUNCTION("REGEXEXTRACT(N73,"" [0-9] "")"),"#NAME?")</f>
        <v>#NAME?</v>
      </c>
      <c r="R73" s="12" t="str">
        <f ca="1">IFERROR(__xludf.DUMMYFUNCTION("REGEXEXTRACT(O73,"" [ABCDEF] "")"),"#NAME?")</f>
        <v>#NAME?</v>
      </c>
      <c r="Z73" s="13" t="s">
        <v>29</v>
      </c>
      <c r="AA73" s="14">
        <v>2</v>
      </c>
      <c r="AB73" s="14">
        <v>1</v>
      </c>
      <c r="AC73" s="14">
        <v>2</v>
      </c>
      <c r="AD73" s="14">
        <v>5</v>
      </c>
      <c r="AE73" s="15"/>
    </row>
    <row r="74" spans="1:31" ht="113.25" customHeight="1" x14ac:dyDescent="0.4">
      <c r="A74" s="9" t="s">
        <v>153</v>
      </c>
      <c r="B74" s="9" t="s">
        <v>82</v>
      </c>
      <c r="C74" s="9" t="s">
        <v>83</v>
      </c>
      <c r="D74" s="9" t="s">
        <v>74</v>
      </c>
      <c r="E74" s="9" t="s">
        <v>489</v>
      </c>
      <c r="F74" s="9" t="s">
        <v>490</v>
      </c>
      <c r="G74" s="10">
        <v>44872</v>
      </c>
      <c r="H74" s="10">
        <v>45289</v>
      </c>
      <c r="I74" s="9">
        <v>14</v>
      </c>
      <c r="J74" s="9"/>
      <c r="K74" s="9" t="s">
        <v>491</v>
      </c>
      <c r="L74" s="9"/>
      <c r="M74" s="2" t="e">
        <f t="array" aca="1" ref="M74" ca="1">"---Descriptif mission--- "&amp;CHAR(10)&amp;_xludf.textjoin(CHAR(10),FALSE,$A$1:$K$1&amp;": "&amp;A74:K74)</f>
        <v>#NAME?</v>
      </c>
      <c r="N74" s="18" t="str">
        <f ca="1">IFERROR(__xludf.DUMMYFUNCTION("AI($N$1,M74)"),"#NAME?")</f>
        <v>#NAME?</v>
      </c>
      <c r="O74" s="18" t="str">
        <f ca="1">IFERROR(__xludf.DUMMYFUNCTION("AI($O$1,M74)"),"#NAME?")</f>
        <v>#NAME?</v>
      </c>
      <c r="Q74" s="11" t="str">
        <f ca="1">IFERROR(__xludf.DUMMYFUNCTION("REGEXEXTRACT(N74,"" [0-9] "")"),"#NAME?")</f>
        <v>#NAME?</v>
      </c>
      <c r="R74" s="12" t="str">
        <f ca="1">IFERROR(__xludf.DUMMYFUNCTION("REGEXEXTRACT(O74,"" [ABCDEF] "")"),"#NAME?")</f>
        <v>#NAME?</v>
      </c>
      <c r="Z74" s="19" t="s">
        <v>43</v>
      </c>
      <c r="AA74" s="14">
        <v>1</v>
      </c>
      <c r="AB74" s="14">
        <v>1</v>
      </c>
      <c r="AC74" s="14">
        <v>1</v>
      </c>
      <c r="AD74" s="14">
        <v>3</v>
      </c>
      <c r="AE74" s="15"/>
    </row>
    <row r="75" spans="1:31" ht="97.5" customHeight="1" x14ac:dyDescent="0.4">
      <c r="A75" s="16" t="s">
        <v>492</v>
      </c>
      <c r="B75" s="16" t="s">
        <v>327</v>
      </c>
      <c r="C75" s="16" t="s">
        <v>114</v>
      </c>
      <c r="D75" s="16" t="s">
        <v>493</v>
      </c>
      <c r="E75" s="16" t="s">
        <v>494</v>
      </c>
      <c r="F75" s="16" t="s">
        <v>495</v>
      </c>
      <c r="G75" s="17">
        <v>45261</v>
      </c>
      <c r="H75" s="17">
        <v>45289</v>
      </c>
      <c r="I75" s="16">
        <v>1</v>
      </c>
      <c r="J75" s="16" t="s">
        <v>143</v>
      </c>
      <c r="K75" s="16" t="s">
        <v>496</v>
      </c>
      <c r="L75" s="16"/>
      <c r="M75" s="2" t="e">
        <f t="array" aca="1" ref="M75" ca="1">"---Descriptif mission--- "&amp;CHAR(10)&amp;_xludf.textjoin(CHAR(10),FALSE,$A$1:$K$1&amp;": "&amp;A75:K75)</f>
        <v>#NAME?</v>
      </c>
      <c r="N75" s="18" t="str">
        <f ca="1">IFERROR(__xludf.DUMMYFUNCTION("AI($N$1,M75)"),"#NAME?")</f>
        <v>#NAME?</v>
      </c>
      <c r="O75" s="18" t="str">
        <f ca="1">IFERROR(__xludf.DUMMYFUNCTION("AI($O$1,M75)"),"#NAME?")</f>
        <v>#NAME?</v>
      </c>
      <c r="Q75" s="11" t="str">
        <f ca="1">IFERROR(__xludf.DUMMYFUNCTION("REGEXEXTRACT(N75,"" [0-9] "")"),"#NAME?")</f>
        <v>#NAME?</v>
      </c>
      <c r="R75" s="12" t="str">
        <f ca="1">IFERROR(__xludf.DUMMYFUNCTION("REGEXEXTRACT(O75,"" [ABCDEF] "")"),"#NAME?")</f>
        <v>#NAME?</v>
      </c>
      <c r="Z75" s="13" t="s">
        <v>29</v>
      </c>
      <c r="AA75" s="14">
        <v>3</v>
      </c>
      <c r="AB75" s="14">
        <v>2</v>
      </c>
      <c r="AC75" s="14">
        <v>2</v>
      </c>
      <c r="AD75" s="14">
        <v>7</v>
      </c>
      <c r="AE75" s="15"/>
    </row>
    <row r="76" spans="1:31" ht="223.5" customHeight="1" x14ac:dyDescent="0.4">
      <c r="A76" s="9" t="s">
        <v>497</v>
      </c>
      <c r="B76" s="9" t="s">
        <v>269</v>
      </c>
      <c r="C76" s="9" t="s">
        <v>498</v>
      </c>
      <c r="D76" s="9" t="s">
        <v>499</v>
      </c>
      <c r="E76" s="9" t="s">
        <v>500</v>
      </c>
      <c r="F76" s="9" t="s">
        <v>501</v>
      </c>
      <c r="G76" s="10">
        <v>44795</v>
      </c>
      <c r="H76" s="10">
        <v>45289</v>
      </c>
      <c r="I76" s="9">
        <v>17</v>
      </c>
      <c r="J76" s="9" t="s">
        <v>100</v>
      </c>
      <c r="K76" s="9" t="s">
        <v>502</v>
      </c>
      <c r="L76" s="9"/>
      <c r="M76" s="2" t="e">
        <f t="array" aca="1" ref="M76" ca="1">"---Descriptif mission--- "&amp;CHAR(10)&amp;_xludf.textjoin(CHAR(10),FALSE,$A$1:$K$1&amp;": "&amp;A76:K76)</f>
        <v>#NAME?</v>
      </c>
      <c r="N76" s="18" t="str">
        <f ca="1">IFERROR(__xludf.DUMMYFUNCTION("AI($N$1,M76)"),"#NAME?")</f>
        <v>#NAME?</v>
      </c>
      <c r="O76" s="18" t="str">
        <f ca="1">IFERROR(__xludf.DUMMYFUNCTION("AI($O$1,M76)"),"#NAME?")</f>
        <v>#NAME?</v>
      </c>
      <c r="Q76" s="11" t="str">
        <f ca="1">IFERROR(__xludf.DUMMYFUNCTION("REGEXEXTRACT(N76,"" [0-9] "")"),"#NAME?")</f>
        <v>#NAME?</v>
      </c>
      <c r="R76" s="12" t="str">
        <f ca="1">IFERROR(__xludf.DUMMYFUNCTION("REGEXEXTRACT(O76,"" [ABCDEF] "")"),"#NAME?")</f>
        <v>#NAME?</v>
      </c>
      <c r="Z76" s="13" t="s">
        <v>29</v>
      </c>
      <c r="AA76" s="14">
        <v>3</v>
      </c>
      <c r="AB76" s="14">
        <v>1</v>
      </c>
      <c r="AC76" s="14">
        <v>3</v>
      </c>
      <c r="AD76" s="14">
        <v>7</v>
      </c>
      <c r="AE76" s="15"/>
    </row>
    <row r="77" spans="1:31" ht="270.75" customHeight="1" x14ac:dyDescent="0.4">
      <c r="A77" s="16" t="s">
        <v>503</v>
      </c>
      <c r="B77" s="16" t="s">
        <v>44</v>
      </c>
      <c r="C77" s="16" t="s">
        <v>504</v>
      </c>
      <c r="D77" s="16" t="s">
        <v>505</v>
      </c>
      <c r="E77" s="16" t="s">
        <v>506</v>
      </c>
      <c r="F77" s="16" t="s">
        <v>507</v>
      </c>
      <c r="G77" s="17">
        <v>45201</v>
      </c>
      <c r="H77" s="17">
        <v>45282</v>
      </c>
      <c r="I77" s="16">
        <v>3</v>
      </c>
      <c r="J77" s="16" t="s">
        <v>114</v>
      </c>
      <c r="K77" s="16" t="s">
        <v>508</v>
      </c>
      <c r="L77" s="16"/>
      <c r="M77" s="2" t="e">
        <f t="array" aca="1" ref="M77" ca="1">"---Descriptif mission--- "&amp;CHAR(10)&amp;_xludf.textjoin(CHAR(10),FALSE,$A$1:$K$1&amp;": "&amp;A77:K77)</f>
        <v>#NAME?</v>
      </c>
      <c r="N77" s="18" t="str">
        <f ca="1">IFERROR(__xludf.DUMMYFUNCTION("AI($N$1,M77)"),"#NAME?")</f>
        <v>#NAME?</v>
      </c>
      <c r="O77" s="18" t="str">
        <f ca="1">IFERROR(__xludf.DUMMYFUNCTION("AI($O$1,M77)"),"#NAME?")</f>
        <v>#NAME?</v>
      </c>
      <c r="Q77" s="11" t="str">
        <f ca="1">IFERROR(__xludf.DUMMYFUNCTION("REGEXEXTRACT(N77,"" [0-9] "")"),"#NAME?")</f>
        <v>#NAME?</v>
      </c>
      <c r="R77" s="12" t="str">
        <f ca="1">IFERROR(__xludf.DUMMYFUNCTION("REGEXEXTRACT(O77,"" [ABCDEF] "")"),"#NAME?")</f>
        <v>#NAME?</v>
      </c>
      <c r="Z77" s="19" t="s">
        <v>43</v>
      </c>
      <c r="AA77" s="14">
        <v>2</v>
      </c>
      <c r="AB77" s="14">
        <v>1</v>
      </c>
      <c r="AC77" s="14">
        <v>1</v>
      </c>
      <c r="AD77" s="14">
        <v>4</v>
      </c>
      <c r="AE77" s="15"/>
    </row>
    <row r="78" spans="1:31" ht="333.75" customHeight="1" x14ac:dyDescent="0.4">
      <c r="A78" s="9" t="s">
        <v>509</v>
      </c>
      <c r="B78" s="9" t="s">
        <v>103</v>
      </c>
      <c r="C78" s="9" t="s">
        <v>510</v>
      </c>
      <c r="D78" s="9" t="s">
        <v>511</v>
      </c>
      <c r="E78" s="9" t="s">
        <v>512</v>
      </c>
      <c r="F78" s="9" t="s">
        <v>513</v>
      </c>
      <c r="G78" s="10">
        <v>45182</v>
      </c>
      <c r="H78" s="10">
        <v>45282</v>
      </c>
      <c r="I78" s="9">
        <v>4</v>
      </c>
      <c r="J78" s="9" t="s">
        <v>274</v>
      </c>
      <c r="K78" s="9" t="s">
        <v>514</v>
      </c>
      <c r="L78" s="9"/>
      <c r="M78" s="2" t="e">
        <f t="array" aca="1" ref="M78" ca="1">"---Descriptif mission--- "&amp;CHAR(10)&amp;_xludf.textjoin(CHAR(10),FALSE,$A$1:$K$1&amp;": "&amp;A78:K78)</f>
        <v>#NAME?</v>
      </c>
      <c r="N78" s="18" t="str">
        <f ca="1">IFERROR(__xludf.DUMMYFUNCTION("AI($N$1,M78)"),"#NAME?")</f>
        <v>#NAME?</v>
      </c>
      <c r="O78" s="18" t="str">
        <f ca="1">IFERROR(__xludf.DUMMYFUNCTION("AI($O$1,M78)"),"#NAME?")</f>
        <v>#NAME?</v>
      </c>
      <c r="Q78" s="11" t="str">
        <f ca="1">IFERROR(__xludf.DUMMYFUNCTION("REGEXEXTRACT(N78,"" [0-9] "")"),"#NAME?")</f>
        <v>#NAME?</v>
      </c>
      <c r="R78" s="12" t="str">
        <f ca="1">IFERROR(__xludf.DUMMYFUNCTION("REGEXEXTRACT(O78,"" [ABCDEF] "")"),"#NAME?")</f>
        <v>#NAME?</v>
      </c>
      <c r="Z78" s="13" t="s">
        <v>29</v>
      </c>
      <c r="AA78" s="14">
        <v>3</v>
      </c>
      <c r="AB78" s="14">
        <v>1</v>
      </c>
      <c r="AC78" s="14">
        <v>2</v>
      </c>
      <c r="AD78" s="14">
        <v>6</v>
      </c>
      <c r="AE78" s="15"/>
    </row>
    <row r="79" spans="1:31" ht="66" customHeight="1" x14ac:dyDescent="0.4">
      <c r="A79" s="16" t="s">
        <v>378</v>
      </c>
      <c r="B79" s="16" t="s">
        <v>68</v>
      </c>
      <c r="C79" s="16" t="s">
        <v>379</v>
      </c>
      <c r="D79" s="16" t="s">
        <v>380</v>
      </c>
      <c r="E79" s="16" t="s">
        <v>381</v>
      </c>
      <c r="F79" s="16" t="s">
        <v>382</v>
      </c>
      <c r="G79" s="17">
        <v>45257</v>
      </c>
      <c r="H79" s="17">
        <v>45272</v>
      </c>
      <c r="I79" s="16">
        <v>2</v>
      </c>
      <c r="J79" s="16" t="s">
        <v>114</v>
      </c>
      <c r="K79" s="16" t="s">
        <v>515</v>
      </c>
      <c r="L79" s="16"/>
      <c r="M79" s="2" t="e">
        <f t="array" aca="1" ref="M79" ca="1">"---Descriptif mission--- "&amp;CHAR(10)&amp;_xludf.textjoin(CHAR(10),FALSE,$A$1:$K$1&amp;": "&amp;A79:K79)</f>
        <v>#NAME?</v>
      </c>
      <c r="N79" s="18" t="str">
        <f ca="1">IFERROR(__xludf.DUMMYFUNCTION("AI($N$1,M79)"),"#NAME?")</f>
        <v>#NAME?</v>
      </c>
      <c r="O79" s="18" t="str">
        <f ca="1">IFERROR(__xludf.DUMMYFUNCTION("AI($O$1,M79)"),"#NAME?")</f>
        <v>#NAME?</v>
      </c>
      <c r="Q79" s="11" t="str">
        <f ca="1">IFERROR(__xludf.DUMMYFUNCTION("REGEXEXTRACT(N79,"" [0-9] "")"),"#NAME?")</f>
        <v>#NAME?</v>
      </c>
      <c r="R79" s="12" t="str">
        <f ca="1">IFERROR(__xludf.DUMMYFUNCTION("REGEXEXTRACT(O79,"" [ABCDEF] "")"),"#NAME?")</f>
        <v>#NAME?</v>
      </c>
      <c r="Z79" s="19" t="s">
        <v>43</v>
      </c>
      <c r="AA79" s="14">
        <v>3</v>
      </c>
      <c r="AB79" s="14">
        <v>1</v>
      </c>
      <c r="AC79" s="14">
        <v>0</v>
      </c>
      <c r="AD79" s="14">
        <v>4</v>
      </c>
      <c r="AE79" s="15"/>
    </row>
    <row r="80" spans="1:31" ht="223.5" customHeight="1" x14ac:dyDescent="0.4">
      <c r="A80" s="9" t="s">
        <v>516</v>
      </c>
      <c r="B80" s="9" t="s">
        <v>517</v>
      </c>
      <c r="C80" s="9" t="s">
        <v>518</v>
      </c>
      <c r="D80" s="9" t="s">
        <v>519</v>
      </c>
      <c r="E80" s="9" t="s">
        <v>520</v>
      </c>
      <c r="F80" s="9" t="s">
        <v>521</v>
      </c>
      <c r="G80" s="10">
        <v>45170</v>
      </c>
      <c r="H80" s="10">
        <v>45247</v>
      </c>
      <c r="I80" s="9">
        <v>3</v>
      </c>
      <c r="J80" s="9" t="s">
        <v>159</v>
      </c>
      <c r="K80" s="9" t="s">
        <v>522</v>
      </c>
      <c r="L80" s="9"/>
      <c r="M80" s="2" t="e">
        <f t="array" aca="1" ref="M80" ca="1">"---Descriptif mission--- "&amp;CHAR(10)&amp;_xludf.textjoin(CHAR(10),FALSE,$A$1:$K$1&amp;": "&amp;A80:K80)</f>
        <v>#NAME?</v>
      </c>
      <c r="N80" s="18" t="str">
        <f ca="1">IFERROR(__xludf.DUMMYFUNCTION("AI($N$1,M80)"),"#NAME?")</f>
        <v>#NAME?</v>
      </c>
      <c r="O80" s="18" t="str">
        <f ca="1">IFERROR(__xludf.DUMMYFUNCTION("AI($O$1,M80)"),"#NAME?")</f>
        <v>#NAME?</v>
      </c>
      <c r="Q80" s="11" t="str">
        <f ca="1">IFERROR(__xludf.DUMMYFUNCTION("REGEXEXTRACT(N80,"" [0-9] "")"),"#NAME?")</f>
        <v>#NAME?</v>
      </c>
      <c r="R80" s="12" t="str">
        <f ca="1">IFERROR(__xludf.DUMMYFUNCTION("REGEXEXTRACT(O80,"" [ABCDEF] "")"),"#NAME?")</f>
        <v>#NAME?</v>
      </c>
      <c r="Z80" s="20" t="s">
        <v>58</v>
      </c>
      <c r="AA80" s="14">
        <v>1</v>
      </c>
      <c r="AB80" s="14">
        <v>0</v>
      </c>
      <c r="AC80" s="14">
        <v>0</v>
      </c>
      <c r="AD80" s="14">
        <v>1</v>
      </c>
      <c r="AE80" s="15"/>
    </row>
    <row r="81" spans="1:31" ht="192" customHeight="1" x14ac:dyDescent="0.4">
      <c r="A81" s="16" t="s">
        <v>169</v>
      </c>
      <c r="B81" s="16" t="s">
        <v>523</v>
      </c>
      <c r="C81" s="16" t="s">
        <v>524</v>
      </c>
      <c r="D81" s="16" t="s">
        <v>525</v>
      </c>
      <c r="E81" s="16" t="s">
        <v>526</v>
      </c>
      <c r="F81" s="16" t="s">
        <v>527</v>
      </c>
      <c r="G81" s="17">
        <v>45047</v>
      </c>
      <c r="H81" s="17">
        <v>45226</v>
      </c>
      <c r="I81" s="16">
        <v>6</v>
      </c>
      <c r="J81" s="16"/>
      <c r="K81" s="16" t="s">
        <v>528</v>
      </c>
      <c r="L81" s="16"/>
      <c r="M81" s="2" t="e">
        <f t="array" aca="1" ref="M81" ca="1">"---Descriptif mission--- "&amp;CHAR(10)&amp;_xludf.textjoin(CHAR(10),FALSE,$A$1:$K$1&amp;": "&amp;A81:K81)</f>
        <v>#NAME?</v>
      </c>
      <c r="N81" s="18" t="str">
        <f ca="1">IFERROR(__xludf.DUMMYFUNCTION("AI($N$1,M81)"),"#NAME?")</f>
        <v>#NAME?</v>
      </c>
      <c r="O81" s="18" t="str">
        <f ca="1">IFERROR(__xludf.DUMMYFUNCTION("AI($O$1,M81)"),"#NAME?")</f>
        <v>#NAME?</v>
      </c>
      <c r="Q81" s="11" t="str">
        <f ca="1">IFERROR(__xludf.DUMMYFUNCTION("REGEXEXTRACT(N81,"" [0-9] "")"),"#NAME?")</f>
        <v>#NAME?</v>
      </c>
      <c r="R81" s="12" t="str">
        <f ca="1">IFERROR(__xludf.DUMMYFUNCTION("REGEXEXTRACT(O81,"" [ABCDEF] "")"),"#NAME?")</f>
        <v>#NAME?</v>
      </c>
      <c r="Z81" s="22" t="s">
        <v>145</v>
      </c>
      <c r="AA81" s="14">
        <v>3</v>
      </c>
      <c r="AB81" s="14">
        <v>3</v>
      </c>
      <c r="AC81" s="14">
        <v>2</v>
      </c>
      <c r="AD81" s="14">
        <v>8</v>
      </c>
      <c r="AE81" s="15"/>
    </row>
    <row r="82" spans="1:31" ht="160.5" customHeight="1" x14ac:dyDescent="0.4">
      <c r="A82" s="9" t="s">
        <v>529</v>
      </c>
      <c r="B82" s="9" t="s">
        <v>530</v>
      </c>
      <c r="C82" s="9" t="s">
        <v>531</v>
      </c>
      <c r="D82" s="9" t="s">
        <v>532</v>
      </c>
      <c r="E82" s="9" t="s">
        <v>533</v>
      </c>
      <c r="F82" s="9" t="s">
        <v>534</v>
      </c>
      <c r="G82" s="10">
        <v>45077</v>
      </c>
      <c r="H82" s="10">
        <v>45224</v>
      </c>
      <c r="I82" s="9">
        <v>6</v>
      </c>
      <c r="J82" s="9" t="s">
        <v>143</v>
      </c>
      <c r="K82" s="9" t="s">
        <v>535</v>
      </c>
      <c r="L82" s="9"/>
      <c r="M82" s="2" t="e">
        <f t="array" aca="1" ref="M82" ca="1">"---Descriptif mission--- "&amp;CHAR(10)&amp;_xludf.textjoin(CHAR(10),FALSE,$A$1:$K$1&amp;": "&amp;A82:K82)</f>
        <v>#NAME?</v>
      </c>
      <c r="N82" s="18" t="str">
        <f ca="1">IFERROR(__xludf.DUMMYFUNCTION("AI($N$1,M82)"),"#NAME?")</f>
        <v>#NAME?</v>
      </c>
      <c r="O82" s="18" t="str">
        <f ca="1">IFERROR(__xludf.DUMMYFUNCTION("AI($O$1,M82)"),"#NAME?")</f>
        <v>#NAME?</v>
      </c>
      <c r="Q82" s="11" t="str">
        <f ca="1">IFERROR(__xludf.DUMMYFUNCTION("REGEXEXTRACT(N82,"" [0-9] "")"),"#NAME?")</f>
        <v>#NAME?</v>
      </c>
      <c r="R82" s="12" t="str">
        <f ca="1">IFERROR(__xludf.DUMMYFUNCTION("REGEXEXTRACT(O82,"" [ABCDEF] "")"),"#NAME?")</f>
        <v>#NAME?</v>
      </c>
      <c r="Z82" s="22" t="s">
        <v>145</v>
      </c>
      <c r="AA82" s="14">
        <v>3</v>
      </c>
      <c r="AB82" s="14">
        <v>3</v>
      </c>
      <c r="AC82" s="14">
        <v>2</v>
      </c>
      <c r="AD82" s="14">
        <v>8</v>
      </c>
      <c r="AE82" s="15"/>
    </row>
    <row r="83" spans="1:31" ht="192" customHeight="1" x14ac:dyDescent="0.4">
      <c r="A83" s="16" t="s">
        <v>536</v>
      </c>
      <c r="B83" s="16" t="s">
        <v>530</v>
      </c>
      <c r="C83" s="16" t="s">
        <v>531</v>
      </c>
      <c r="D83" s="16" t="s">
        <v>493</v>
      </c>
      <c r="E83" s="16" t="s">
        <v>537</v>
      </c>
      <c r="F83" s="16" t="s">
        <v>538</v>
      </c>
      <c r="G83" s="17">
        <v>45077</v>
      </c>
      <c r="H83" s="17">
        <v>45159</v>
      </c>
      <c r="I83" s="16">
        <v>4</v>
      </c>
      <c r="J83" s="16" t="s">
        <v>143</v>
      </c>
      <c r="K83" s="16" t="s">
        <v>539</v>
      </c>
      <c r="L83" s="16"/>
      <c r="M83" s="2" t="e">
        <f t="array" aca="1" ref="M83" ca="1">"---Descriptif mission--- "&amp;CHAR(10)&amp;_xludf.textjoin(CHAR(10),FALSE,$A$1:$K$1&amp;": "&amp;A83:K83)</f>
        <v>#NAME?</v>
      </c>
      <c r="N83" s="18" t="str">
        <f ca="1">IFERROR(__xludf.DUMMYFUNCTION("AI($N$1,M83)"),"#NAME?")</f>
        <v>#NAME?</v>
      </c>
      <c r="O83" s="18" t="str">
        <f ca="1">IFERROR(__xludf.DUMMYFUNCTION("AI($O$1,M83)"),"#NAME?")</f>
        <v>#NAME?</v>
      </c>
      <c r="Q83" s="11" t="str">
        <f ca="1">IFERROR(__xludf.DUMMYFUNCTION("REGEXEXTRACT(N83,"" [0-9] "")"),"#NAME?")</f>
        <v>#NAME?</v>
      </c>
      <c r="R83" s="12" t="str">
        <f ca="1">IFERROR(__xludf.DUMMYFUNCTION("REGEXEXTRACT(O83,"" [ABCDEF] "")"),"#NAME?")</f>
        <v>#NAME?</v>
      </c>
      <c r="Z83" s="22" t="s">
        <v>145</v>
      </c>
      <c r="AA83" s="14">
        <v>3</v>
      </c>
      <c r="AB83" s="14">
        <v>3</v>
      </c>
      <c r="AC83" s="14">
        <v>2</v>
      </c>
      <c r="AD83" s="14">
        <v>8</v>
      </c>
      <c r="AE83" s="15"/>
    </row>
    <row r="84" spans="1:31" ht="239.25" customHeight="1" x14ac:dyDescent="0.4">
      <c r="A84" s="9" t="s">
        <v>540</v>
      </c>
      <c r="B84" s="9" t="s">
        <v>207</v>
      </c>
      <c r="C84" s="9" t="s">
        <v>541</v>
      </c>
      <c r="D84" s="9" t="s">
        <v>542</v>
      </c>
      <c r="E84" s="9" t="s">
        <v>543</v>
      </c>
      <c r="F84" s="9" t="s">
        <v>544</v>
      </c>
      <c r="G84" s="10">
        <v>44742</v>
      </c>
      <c r="H84" s="10">
        <v>45138</v>
      </c>
      <c r="I84" s="9">
        <v>14</v>
      </c>
      <c r="J84" s="9" t="s">
        <v>143</v>
      </c>
      <c r="K84" s="9" t="s">
        <v>545</v>
      </c>
      <c r="L84" s="9"/>
      <c r="M84" s="2" t="e">
        <f t="array" aca="1" ref="M84" ca="1">"---Descriptif mission--- "&amp;CHAR(10)&amp;_xludf.textjoin(CHAR(10),FALSE,$A$1:$K$1&amp;": "&amp;A84:K84)</f>
        <v>#NAME?</v>
      </c>
      <c r="N84" s="18" t="str">
        <f ca="1">IFERROR(__xludf.DUMMYFUNCTION("AI($N$1,M84)"),"#NAME?")</f>
        <v>#NAME?</v>
      </c>
      <c r="O84" s="18" t="str">
        <f ca="1">IFERROR(__xludf.DUMMYFUNCTION("AI($O$1,M84)"),"#NAME?")</f>
        <v>#NAME?</v>
      </c>
      <c r="Q84" s="11" t="str">
        <f ca="1">IFERROR(__xludf.DUMMYFUNCTION("REGEXEXTRACT(N84,"" [0-9] "")"),"#NAME?")</f>
        <v>#NAME?</v>
      </c>
      <c r="R84" s="12" t="str">
        <f ca="1">IFERROR(__xludf.DUMMYFUNCTION("REGEXEXTRACT(O84,"" [ABCDEF] "")"),"#NAME?")</f>
        <v>#NAME?</v>
      </c>
      <c r="Z84" s="22" t="s">
        <v>145</v>
      </c>
      <c r="AA84" s="14">
        <v>3</v>
      </c>
      <c r="AB84" s="14">
        <v>3</v>
      </c>
      <c r="AC84" s="14">
        <v>2</v>
      </c>
      <c r="AD84" s="14">
        <v>8</v>
      </c>
      <c r="AE84" s="15"/>
    </row>
    <row r="85" spans="1:31" ht="239.25" customHeight="1" x14ac:dyDescent="0.4">
      <c r="A85" s="16" t="s">
        <v>540</v>
      </c>
      <c r="B85" s="16" t="s">
        <v>207</v>
      </c>
      <c r="C85" s="16" t="s">
        <v>541</v>
      </c>
      <c r="D85" s="16" t="s">
        <v>546</v>
      </c>
      <c r="E85" s="16" t="s">
        <v>547</v>
      </c>
      <c r="F85" s="16" t="s">
        <v>548</v>
      </c>
      <c r="G85" s="17">
        <v>44287</v>
      </c>
      <c r="H85" s="17">
        <v>45138</v>
      </c>
      <c r="I85" s="16">
        <v>28</v>
      </c>
      <c r="J85" s="16" t="s">
        <v>143</v>
      </c>
      <c r="K85" s="16" t="s">
        <v>549</v>
      </c>
      <c r="L85" s="16"/>
      <c r="M85" s="2" t="e">
        <f t="array" aca="1" ref="M85" ca="1">"---Descriptif mission--- "&amp;CHAR(10)&amp;_xludf.textjoin(CHAR(10),FALSE,$A$1:$K$1&amp;": "&amp;A85:K85)</f>
        <v>#NAME?</v>
      </c>
      <c r="N85" s="18" t="str">
        <f ca="1">IFERROR(__xludf.DUMMYFUNCTION("AI($N$1,M85)"),"#NAME?")</f>
        <v>#NAME?</v>
      </c>
      <c r="O85" s="18" t="str">
        <f ca="1">IFERROR(__xludf.DUMMYFUNCTION("AI($O$1,M85)"),"#NAME?")</f>
        <v>#NAME?</v>
      </c>
      <c r="Q85" s="11" t="str">
        <f ca="1">IFERROR(__xludf.DUMMYFUNCTION("REGEXEXTRACT(N85,"" [0-9] "")"),"#NAME?")</f>
        <v>#NAME?</v>
      </c>
      <c r="R85" s="12" t="str">
        <f ca="1">IFERROR(__xludf.DUMMYFUNCTION("REGEXEXTRACT(O85,"" [ABCDEF] "")"),"#NAME?")</f>
        <v>#NAME?</v>
      </c>
      <c r="Z85" s="22" t="s">
        <v>145</v>
      </c>
      <c r="AA85" s="14">
        <v>3</v>
      </c>
      <c r="AB85" s="14">
        <v>3</v>
      </c>
      <c r="AC85" s="14">
        <v>1</v>
      </c>
      <c r="AD85" s="14">
        <v>7</v>
      </c>
      <c r="AE85" s="15"/>
    </row>
    <row r="86" spans="1:31" ht="160.5" customHeight="1" x14ac:dyDescent="0.4">
      <c r="A86" s="9" t="s">
        <v>550</v>
      </c>
      <c r="B86" s="9" t="s">
        <v>138</v>
      </c>
      <c r="C86" s="9" t="s">
        <v>551</v>
      </c>
      <c r="D86" s="9" t="s">
        <v>552</v>
      </c>
      <c r="E86" s="9" t="s">
        <v>553</v>
      </c>
      <c r="F86" s="9" t="s">
        <v>554</v>
      </c>
      <c r="G86" s="10">
        <v>44655</v>
      </c>
      <c r="H86" s="10">
        <v>45107</v>
      </c>
      <c r="I86" s="9">
        <v>15</v>
      </c>
      <c r="J86" s="9"/>
      <c r="K86" s="9" t="s">
        <v>555</v>
      </c>
      <c r="L86" s="9"/>
      <c r="M86" s="2" t="e">
        <f t="array" aca="1" ref="M86" ca="1">"---Descriptif mission--- "&amp;CHAR(10)&amp;_xludf.textjoin(CHAR(10),FALSE,$A$1:$K$1&amp;": "&amp;A86:K86)</f>
        <v>#NAME?</v>
      </c>
      <c r="N86" s="18" t="str">
        <f ca="1">IFERROR(__xludf.DUMMYFUNCTION("AI($N$1,M86)"),"#NAME?")</f>
        <v>#NAME?</v>
      </c>
      <c r="O86" s="18" t="str">
        <f ca="1">IFERROR(__xludf.DUMMYFUNCTION("AI($O$1,M86)"),"#NAME?")</f>
        <v>#NAME?</v>
      </c>
      <c r="Q86" s="11" t="str">
        <f ca="1">IFERROR(__xludf.DUMMYFUNCTION("REGEXEXTRACT(N86,"" [0-9] "")"),"#NAME?")</f>
        <v>#NAME?</v>
      </c>
      <c r="R86" s="12" t="str">
        <f ca="1">IFERROR(__xludf.DUMMYFUNCTION("REGEXEXTRACT(O86,"" [ABCDEF] "")"),"#NAME?")</f>
        <v>#NAME?</v>
      </c>
      <c r="Z86" s="19" t="s">
        <v>43</v>
      </c>
      <c r="AA86" s="14">
        <v>2</v>
      </c>
      <c r="AB86" s="14">
        <v>1</v>
      </c>
      <c r="AC86" s="14">
        <v>1</v>
      </c>
      <c r="AD86" s="14">
        <v>4</v>
      </c>
      <c r="AE86" s="15"/>
    </row>
    <row r="87" spans="1:31" ht="255" customHeight="1" x14ac:dyDescent="0.4">
      <c r="A87" s="16" t="s">
        <v>556</v>
      </c>
      <c r="B87" s="16" t="s">
        <v>557</v>
      </c>
      <c r="C87" s="16" t="s">
        <v>558</v>
      </c>
      <c r="D87" s="16" t="s">
        <v>559</v>
      </c>
      <c r="E87" s="16" t="s">
        <v>560</v>
      </c>
      <c r="F87" s="16" t="s">
        <v>561</v>
      </c>
      <c r="G87" s="17">
        <v>44830</v>
      </c>
      <c r="H87" s="17">
        <v>45107</v>
      </c>
      <c r="I87" s="16">
        <v>10</v>
      </c>
      <c r="J87" s="16" t="s">
        <v>562</v>
      </c>
      <c r="K87" s="16" t="s">
        <v>563</v>
      </c>
      <c r="L87" s="16"/>
      <c r="M87" s="2" t="e">
        <f t="array" aca="1" ref="M87" ca="1">"---Descriptif mission--- "&amp;CHAR(10)&amp;_xludf.textjoin(CHAR(10),FALSE,$A$1:$K$1&amp;": "&amp;A87:K87)</f>
        <v>#NAME?</v>
      </c>
      <c r="N87" s="18" t="str">
        <f ca="1">IFERROR(__xludf.DUMMYFUNCTION("AI($N$1,M87)"),"#NAME?")</f>
        <v>#NAME?</v>
      </c>
      <c r="O87" s="18" t="str">
        <f ca="1">IFERROR(__xludf.DUMMYFUNCTION("AI($O$1,M87)"),"#NAME?")</f>
        <v>#NAME?</v>
      </c>
      <c r="Q87" s="11" t="str">
        <f ca="1">IFERROR(__xludf.DUMMYFUNCTION("REGEXEXTRACT(N87,"" [0-9] "")"),"#NAME?")</f>
        <v>#NAME?</v>
      </c>
      <c r="R87" s="12" t="str">
        <f ca="1">IFERROR(__xludf.DUMMYFUNCTION("REGEXEXTRACT(O87,"" [ABCDEF] "")"),"#NAME?")</f>
        <v>#NAME?</v>
      </c>
      <c r="Z87" s="13" t="s">
        <v>29</v>
      </c>
      <c r="AA87" s="14">
        <v>2</v>
      </c>
      <c r="AB87" s="14">
        <v>1</v>
      </c>
      <c r="AC87" s="14">
        <v>2</v>
      </c>
      <c r="AD87" s="14">
        <v>5</v>
      </c>
      <c r="AE87" s="15"/>
    </row>
    <row r="88" spans="1:31" ht="97.5" customHeight="1" x14ac:dyDescent="0.4">
      <c r="A88" s="9" t="s">
        <v>378</v>
      </c>
      <c r="B88" s="9" t="s">
        <v>564</v>
      </c>
      <c r="C88" s="9" t="s">
        <v>565</v>
      </c>
      <c r="D88" s="9" t="s">
        <v>566</v>
      </c>
      <c r="E88" s="9" t="s">
        <v>567</v>
      </c>
      <c r="F88" s="9" t="s">
        <v>568</v>
      </c>
      <c r="G88" s="10">
        <v>45099</v>
      </c>
      <c r="H88" s="10">
        <v>45099</v>
      </c>
      <c r="I88" s="9">
        <v>1</v>
      </c>
      <c r="J88" s="9" t="s">
        <v>114</v>
      </c>
      <c r="K88" s="9" t="s">
        <v>569</v>
      </c>
      <c r="L88" s="9"/>
      <c r="M88" s="2" t="e">
        <f t="array" aca="1" ref="M88" ca="1">"---Descriptif mission--- "&amp;CHAR(10)&amp;_xludf.textjoin(CHAR(10),FALSE,$A$1:$K$1&amp;": "&amp;A88:K88)</f>
        <v>#NAME?</v>
      </c>
      <c r="N88" s="18" t="str">
        <f ca="1">IFERROR(__xludf.DUMMYFUNCTION("AI($N$1,M88)"),"#NAME?")</f>
        <v>#NAME?</v>
      </c>
      <c r="O88" s="18" t="str">
        <f ca="1">IFERROR(__xludf.DUMMYFUNCTION("AI($O$1,M88)"),"#NAME?")</f>
        <v>#NAME?</v>
      </c>
      <c r="Q88" s="11" t="str">
        <f ca="1">IFERROR(__xludf.DUMMYFUNCTION("REGEXEXTRACT(N88,"" [0-9] "")"),"#NAME?")</f>
        <v>#NAME?</v>
      </c>
      <c r="R88" s="12" t="str">
        <f ca="1">IFERROR(__xludf.DUMMYFUNCTION("REGEXEXTRACT(O88,"" [ABCDEF] "")"),"#NAME?")</f>
        <v>#NAME?</v>
      </c>
      <c r="Z88" s="19" t="s">
        <v>43</v>
      </c>
      <c r="AA88" s="14">
        <v>3</v>
      </c>
      <c r="AB88" s="14">
        <v>1</v>
      </c>
      <c r="AC88" s="14">
        <v>0</v>
      </c>
      <c r="AD88" s="14">
        <v>4</v>
      </c>
      <c r="AE88" s="15"/>
    </row>
    <row r="89" spans="1:31" ht="270.75" customHeight="1" x14ac:dyDescent="0.4">
      <c r="A89" s="16" t="s">
        <v>570</v>
      </c>
      <c r="B89" s="16" t="s">
        <v>44</v>
      </c>
      <c r="C89" s="16" t="s">
        <v>571</v>
      </c>
      <c r="D89" s="16" t="s">
        <v>572</v>
      </c>
      <c r="E89" s="16" t="s">
        <v>573</v>
      </c>
      <c r="F89" s="16" t="s">
        <v>574</v>
      </c>
      <c r="G89" s="17">
        <v>45082</v>
      </c>
      <c r="H89" s="17">
        <v>45089</v>
      </c>
      <c r="I89" s="16">
        <v>1</v>
      </c>
      <c r="J89" s="16" t="s">
        <v>114</v>
      </c>
      <c r="K89" s="16" t="s">
        <v>575</v>
      </c>
      <c r="L89" s="16"/>
      <c r="M89" s="2" t="e">
        <f t="array" aca="1" ref="M89" ca="1">"---Descriptif mission--- "&amp;CHAR(10)&amp;_xludf.textjoin(CHAR(10),FALSE,$A$1:$K$1&amp;": "&amp;A89:K89)</f>
        <v>#NAME?</v>
      </c>
      <c r="N89" s="18" t="str">
        <f ca="1">IFERROR(__xludf.DUMMYFUNCTION("AI($N$1,M89)"),"#NAME?")</f>
        <v>#NAME?</v>
      </c>
      <c r="O89" s="18" t="str">
        <f ca="1">IFERROR(__xludf.DUMMYFUNCTION("AI($O$1,M89)"),"#NAME?")</f>
        <v>#NAME?</v>
      </c>
      <c r="Q89" s="11" t="str">
        <f ca="1">IFERROR(__xludf.DUMMYFUNCTION("REGEXEXTRACT(N89,"" [0-9] "")"),"#NAME?")</f>
        <v>#NAME?</v>
      </c>
      <c r="R89" s="12" t="str">
        <f ca="1">IFERROR(__xludf.DUMMYFUNCTION("REGEXEXTRACT(O89,"" [ABCDEF] "")"),"#NAME?")</f>
        <v>#NAME?</v>
      </c>
      <c r="Z89" s="13" t="s">
        <v>29</v>
      </c>
      <c r="AA89" s="14">
        <v>3</v>
      </c>
      <c r="AB89" s="14">
        <v>1</v>
      </c>
      <c r="AC89" s="14">
        <v>2</v>
      </c>
      <c r="AD89" s="14">
        <v>6</v>
      </c>
      <c r="AE89" s="15"/>
    </row>
    <row r="90" spans="1:31" ht="192" customHeight="1" x14ac:dyDescent="0.4">
      <c r="A90" s="9" t="s">
        <v>497</v>
      </c>
      <c r="B90" s="9" t="s">
        <v>517</v>
      </c>
      <c r="C90" s="9" t="s">
        <v>576</v>
      </c>
      <c r="D90" s="9" t="s">
        <v>577</v>
      </c>
      <c r="E90" s="9" t="s">
        <v>578</v>
      </c>
      <c r="F90" s="9" t="s">
        <v>579</v>
      </c>
      <c r="G90" s="10">
        <v>44697</v>
      </c>
      <c r="H90" s="10">
        <v>45077</v>
      </c>
      <c r="I90" s="9">
        <v>13</v>
      </c>
      <c r="J90" s="9"/>
      <c r="K90" s="9" t="s">
        <v>580</v>
      </c>
      <c r="L90" s="9"/>
      <c r="M90" s="2" t="e">
        <f t="array" aca="1" ref="M90" ca="1">"---Descriptif mission--- "&amp;CHAR(10)&amp;_xludf.textjoin(CHAR(10),FALSE,$A$1:$K$1&amp;": "&amp;A90:K90)</f>
        <v>#NAME?</v>
      </c>
      <c r="N90" s="18" t="str">
        <f ca="1">IFERROR(__xludf.DUMMYFUNCTION("AI($N$1,M90)"),"#NAME?")</f>
        <v>#NAME?</v>
      </c>
      <c r="O90" s="18" t="str">
        <f ca="1">IFERROR(__xludf.DUMMYFUNCTION("AI($O$1,M90)"),"#NAME?")</f>
        <v>#NAME?</v>
      </c>
      <c r="Q90" s="11" t="str">
        <f ca="1">IFERROR(__xludf.DUMMYFUNCTION("REGEXEXTRACT(N90,"" [0-9] "")"),"#NAME?")</f>
        <v>#NAME?</v>
      </c>
      <c r="R90" s="12" t="str">
        <f ca="1">IFERROR(__xludf.DUMMYFUNCTION("REGEXEXTRACT(O90,"" [ABCDEF] "")"),"#NAME?")</f>
        <v>#NAME?</v>
      </c>
      <c r="Z90" s="13" t="s">
        <v>29</v>
      </c>
      <c r="AA90" s="14">
        <v>3</v>
      </c>
      <c r="AB90" s="14">
        <v>1</v>
      </c>
      <c r="AC90" s="14">
        <v>2</v>
      </c>
      <c r="AD90" s="14">
        <v>6</v>
      </c>
      <c r="AE90" s="15"/>
    </row>
    <row r="91" spans="1:31" ht="239.25" customHeight="1" x14ac:dyDescent="0.4">
      <c r="A91" s="16" t="s">
        <v>492</v>
      </c>
      <c r="B91" s="16" t="s">
        <v>68</v>
      </c>
      <c r="C91" s="16" t="s">
        <v>581</v>
      </c>
      <c r="D91" s="16" t="s">
        <v>493</v>
      </c>
      <c r="E91" s="16" t="s">
        <v>582</v>
      </c>
      <c r="F91" s="16" t="s">
        <v>583</v>
      </c>
      <c r="G91" s="17">
        <v>44852</v>
      </c>
      <c r="H91" s="17">
        <v>44967</v>
      </c>
      <c r="I91" s="16">
        <v>5</v>
      </c>
      <c r="J91" s="16" t="s">
        <v>143</v>
      </c>
      <c r="K91" s="16" t="s">
        <v>584</v>
      </c>
      <c r="L91" s="16"/>
      <c r="M91" s="2" t="e">
        <f t="array" aca="1" ref="M91" ca="1">"---Descriptif mission--- "&amp;CHAR(10)&amp;_xludf.textjoin(CHAR(10),FALSE,$A$1:$K$1&amp;": "&amp;A91:K91)</f>
        <v>#NAME?</v>
      </c>
      <c r="N91" s="18" t="str">
        <f ca="1">IFERROR(__xludf.DUMMYFUNCTION("AI($N$1,M91)"),"#NAME?")</f>
        <v>#NAME?</v>
      </c>
      <c r="O91" s="18" t="str">
        <f ca="1">IFERROR(__xludf.DUMMYFUNCTION("AI($O$1,M91)"),"#NAME?")</f>
        <v>#NAME?</v>
      </c>
      <c r="Q91" s="11" t="str">
        <f ca="1">IFERROR(__xludf.DUMMYFUNCTION("REGEXEXTRACT(N91,"" [0-9] "")"),"#NAME?")</f>
        <v>#NAME?</v>
      </c>
      <c r="R91" s="12" t="str">
        <f ca="1">IFERROR(__xludf.DUMMYFUNCTION("REGEXEXTRACT(O91,"" [ABCDEF] "")"),"#NAME?")</f>
        <v>#NAME?</v>
      </c>
      <c r="Z91" s="22" t="s">
        <v>145</v>
      </c>
      <c r="AA91" s="14">
        <v>3</v>
      </c>
      <c r="AB91" s="14">
        <v>3</v>
      </c>
      <c r="AC91" s="14">
        <v>2</v>
      </c>
      <c r="AD91" s="14">
        <v>8</v>
      </c>
      <c r="AE91" s="15"/>
    </row>
    <row r="92" spans="1:31" ht="239.25" customHeight="1" x14ac:dyDescent="0.4">
      <c r="A92" s="9" t="s">
        <v>585</v>
      </c>
      <c r="B92" s="9" t="s">
        <v>109</v>
      </c>
      <c r="C92" s="9" t="s">
        <v>586</v>
      </c>
      <c r="D92" s="9" t="s">
        <v>587</v>
      </c>
      <c r="E92" s="9" t="s">
        <v>588</v>
      </c>
      <c r="F92" s="9" t="s">
        <v>589</v>
      </c>
      <c r="G92" s="10">
        <v>44722</v>
      </c>
      <c r="H92" s="10">
        <v>44925</v>
      </c>
      <c r="I92" s="9">
        <v>7</v>
      </c>
      <c r="J92" s="9" t="s">
        <v>143</v>
      </c>
      <c r="K92" s="9" t="s">
        <v>590</v>
      </c>
      <c r="L92" s="9"/>
      <c r="M92" s="2" t="e">
        <f t="array" aca="1" ref="M92" ca="1">"---Descriptif mission--- "&amp;CHAR(10)&amp;_xludf.textjoin(CHAR(10),FALSE,$A$1:$K$1&amp;": "&amp;A92:K92)</f>
        <v>#NAME?</v>
      </c>
      <c r="N92" s="18" t="str">
        <f ca="1">IFERROR(__xludf.DUMMYFUNCTION("AI($N$1,M92)"),"#NAME?")</f>
        <v>#NAME?</v>
      </c>
      <c r="O92" s="18" t="str">
        <f ca="1">IFERROR(__xludf.DUMMYFUNCTION("AI($O$1,M92)"),"#NAME?")</f>
        <v>#NAME?</v>
      </c>
      <c r="Q92" s="11" t="str">
        <f ca="1">IFERROR(__xludf.DUMMYFUNCTION("REGEXEXTRACT(N92,"" [0-9] "")"),"#NAME?")</f>
        <v>#NAME?</v>
      </c>
      <c r="R92" s="12" t="str">
        <f ca="1">IFERROR(__xludf.DUMMYFUNCTION("REGEXEXTRACT(O92,"" [ABCDEF] "")"),"#NAME?")</f>
        <v>#NAME?</v>
      </c>
      <c r="Z92" s="22" t="s">
        <v>145</v>
      </c>
      <c r="AA92" s="14">
        <v>2</v>
      </c>
      <c r="AB92" s="14">
        <v>3</v>
      </c>
      <c r="AC92" s="14">
        <v>2</v>
      </c>
      <c r="AD92" s="14">
        <v>7</v>
      </c>
      <c r="AE92" s="15"/>
    </row>
    <row r="93" spans="1:31" ht="144.75" customHeight="1" x14ac:dyDescent="0.4">
      <c r="A93" s="16" t="s">
        <v>239</v>
      </c>
      <c r="B93" s="16" t="s">
        <v>109</v>
      </c>
      <c r="C93" s="16" t="s">
        <v>591</v>
      </c>
      <c r="D93" s="16" t="s">
        <v>592</v>
      </c>
      <c r="E93" s="16" t="s">
        <v>593</v>
      </c>
      <c r="F93" s="16" t="s">
        <v>594</v>
      </c>
      <c r="G93" s="17">
        <v>44571</v>
      </c>
      <c r="H93" s="17">
        <v>44925</v>
      </c>
      <c r="I93" s="16">
        <v>12</v>
      </c>
      <c r="J93" s="16" t="s">
        <v>190</v>
      </c>
      <c r="K93" s="16" t="s">
        <v>595</v>
      </c>
      <c r="L93" s="16"/>
      <c r="M93" s="2" t="e">
        <f t="array" aca="1" ref="M93" ca="1">"---Descriptif mission--- "&amp;CHAR(10)&amp;_xludf.textjoin(CHAR(10),FALSE,$A$1:$K$1&amp;": "&amp;A93:K93)</f>
        <v>#NAME?</v>
      </c>
      <c r="N93" s="18" t="str">
        <f ca="1">IFERROR(__xludf.DUMMYFUNCTION("AI($N$1,M93)"),"#NAME?")</f>
        <v>#NAME?</v>
      </c>
      <c r="O93" s="18" t="str">
        <f ca="1">IFERROR(__xludf.DUMMYFUNCTION("AI($O$1,M93)"),"#NAME?")</f>
        <v>#NAME?</v>
      </c>
      <c r="Q93" s="11" t="str">
        <f ca="1">IFERROR(__xludf.DUMMYFUNCTION("REGEXEXTRACT(N93,"" [0-9] "")"),"#NAME?")</f>
        <v>#NAME?</v>
      </c>
      <c r="R93" s="12" t="str">
        <f ca="1">IFERROR(__xludf.DUMMYFUNCTION("REGEXEXTRACT(O93,"" [ABCDEF] "")"),"#NAME?")</f>
        <v>#NAME?</v>
      </c>
      <c r="Z93" s="13" t="s">
        <v>29</v>
      </c>
      <c r="AA93" s="14">
        <v>2</v>
      </c>
      <c r="AB93" s="14">
        <v>1</v>
      </c>
      <c r="AC93" s="14">
        <v>3</v>
      </c>
      <c r="AD93" s="14">
        <v>6</v>
      </c>
      <c r="AE93" s="15"/>
    </row>
    <row r="94" spans="1:31" ht="113.25" customHeight="1" x14ac:dyDescent="0.4">
      <c r="A94" s="9" t="s">
        <v>596</v>
      </c>
      <c r="B94" s="9" t="s">
        <v>597</v>
      </c>
      <c r="C94" s="9" t="s">
        <v>598</v>
      </c>
      <c r="D94" s="9" t="s">
        <v>599</v>
      </c>
      <c r="E94" s="9" t="s">
        <v>600</v>
      </c>
      <c r="F94" s="9" t="s">
        <v>601</v>
      </c>
      <c r="G94" s="10">
        <v>44459</v>
      </c>
      <c r="H94" s="10">
        <v>44918</v>
      </c>
      <c r="I94" s="9">
        <v>16</v>
      </c>
      <c r="J94" s="9" t="s">
        <v>159</v>
      </c>
      <c r="K94" s="9" t="s">
        <v>602</v>
      </c>
      <c r="L94" s="9"/>
      <c r="M94" s="2" t="e">
        <f t="array" aca="1" ref="M94" ca="1">"---Descriptif mission--- "&amp;CHAR(10)&amp;_xludf.textjoin(CHAR(10),FALSE,$A$1:$K$1&amp;": "&amp;A94:K94)</f>
        <v>#NAME?</v>
      </c>
      <c r="N94" s="18" t="str">
        <f ca="1">IFERROR(__xludf.DUMMYFUNCTION("AI($N$1,M94)"),"#NAME?")</f>
        <v>#NAME?</v>
      </c>
      <c r="O94" s="18" t="str">
        <f ca="1">IFERROR(__xludf.DUMMYFUNCTION("AI($O$1,M94)"),"#NAME?")</f>
        <v>#NAME?</v>
      </c>
      <c r="Q94" s="11" t="str">
        <f ca="1">IFERROR(__xludf.DUMMYFUNCTION("REGEXEXTRACT(N94,"" [0-9] "")"),"#NAME?")</f>
        <v>#NAME?</v>
      </c>
      <c r="R94" s="12" t="str">
        <f ca="1">IFERROR(__xludf.DUMMYFUNCTION("REGEXEXTRACT(O94,"" [ABCDEF] "")"),"#NAME?")</f>
        <v>#NAME?</v>
      </c>
      <c r="Z94" s="19" t="s">
        <v>43</v>
      </c>
      <c r="AA94" s="14">
        <v>1</v>
      </c>
      <c r="AB94" s="14">
        <v>1</v>
      </c>
      <c r="AC94" s="14">
        <v>1</v>
      </c>
      <c r="AD94" s="14">
        <v>3</v>
      </c>
      <c r="AE94" s="15"/>
    </row>
    <row r="95" spans="1:31" ht="129" customHeight="1" x14ac:dyDescent="0.4">
      <c r="A95" s="16" t="s">
        <v>603</v>
      </c>
      <c r="B95" s="16" t="s">
        <v>517</v>
      </c>
      <c r="C95" s="16" t="s">
        <v>604</v>
      </c>
      <c r="D95" s="16" t="s">
        <v>605</v>
      </c>
      <c r="E95" s="16" t="s">
        <v>606</v>
      </c>
      <c r="F95" s="16" t="s">
        <v>607</v>
      </c>
      <c r="G95" s="17">
        <v>44819</v>
      </c>
      <c r="H95" s="17">
        <v>44911</v>
      </c>
      <c r="I95" s="16">
        <v>4</v>
      </c>
      <c r="J95" s="16" t="s">
        <v>100</v>
      </c>
      <c r="K95" s="16" t="s">
        <v>608</v>
      </c>
      <c r="L95" s="16"/>
      <c r="M95" s="2" t="e">
        <f t="array" aca="1" ref="M95" ca="1">"---Descriptif mission--- "&amp;CHAR(10)&amp;_xludf.textjoin(CHAR(10),FALSE,$A$1:$K$1&amp;": "&amp;A95:K95)</f>
        <v>#NAME?</v>
      </c>
      <c r="N95" s="18" t="str">
        <f ca="1">IFERROR(__xludf.DUMMYFUNCTION("AI($N$1,M95)"),"#NAME?")</f>
        <v>#NAME?</v>
      </c>
      <c r="O95" s="18" t="str">
        <f ca="1">IFERROR(__xludf.DUMMYFUNCTION("AI($O$1,M95)"),"#NAME?")</f>
        <v>#NAME?</v>
      </c>
      <c r="Q95" s="11" t="str">
        <f ca="1">IFERROR(__xludf.DUMMYFUNCTION("REGEXEXTRACT(N95,"" [0-9] "")"),"#NAME?")</f>
        <v>#NAME?</v>
      </c>
      <c r="R95" s="12" t="str">
        <f ca="1">IFERROR(__xludf.DUMMYFUNCTION("REGEXEXTRACT(O95,"" [ABCDEF] "")"),"#NAME?")</f>
        <v>#NAME?</v>
      </c>
      <c r="Z95" s="13" t="s">
        <v>29</v>
      </c>
      <c r="AA95" s="14">
        <v>3</v>
      </c>
      <c r="AB95" s="14">
        <v>1</v>
      </c>
      <c r="AC95" s="14">
        <v>2</v>
      </c>
      <c r="AD95" s="14">
        <v>6</v>
      </c>
      <c r="AE95" s="15"/>
    </row>
    <row r="96" spans="1:31" ht="192" customHeight="1" x14ac:dyDescent="0.4">
      <c r="A96" s="9" t="s">
        <v>21</v>
      </c>
      <c r="B96" s="9" t="s">
        <v>609</v>
      </c>
      <c r="C96" s="9" t="s">
        <v>485</v>
      </c>
      <c r="D96" s="9" t="s">
        <v>610</v>
      </c>
      <c r="E96" s="9" t="s">
        <v>611</v>
      </c>
      <c r="F96" s="9" t="s">
        <v>612</v>
      </c>
      <c r="G96" s="10">
        <v>44110</v>
      </c>
      <c r="H96" s="10">
        <v>44890</v>
      </c>
      <c r="I96" s="9">
        <v>26</v>
      </c>
      <c r="J96" s="9"/>
      <c r="K96" s="9" t="s">
        <v>613</v>
      </c>
      <c r="L96" s="9"/>
      <c r="M96" s="2" t="e">
        <f t="array" aca="1" ref="M96" ca="1">"---Descriptif mission--- "&amp;CHAR(10)&amp;_xludf.textjoin(CHAR(10),FALSE,$A$1:$K$1&amp;": "&amp;A96:K96)</f>
        <v>#NAME?</v>
      </c>
      <c r="N96" s="18" t="str">
        <f ca="1">IFERROR(__xludf.DUMMYFUNCTION("AI($N$1,M96)"),"#NAME?")</f>
        <v>#NAME?</v>
      </c>
      <c r="O96" s="18" t="str">
        <f ca="1">IFERROR(__xludf.DUMMYFUNCTION("AI($O$1,M96)"),"#NAME?")</f>
        <v>#NAME?</v>
      </c>
      <c r="Q96" s="11" t="str">
        <f ca="1">IFERROR(__xludf.DUMMYFUNCTION("REGEXEXTRACT(N96,"" [0-9] "")"),"#NAME?")</f>
        <v>#NAME?</v>
      </c>
      <c r="R96" s="12" t="str">
        <f ca="1">IFERROR(__xludf.DUMMYFUNCTION("REGEXEXTRACT(O96,"" [ABCDEF] "")"),"#NAME?")</f>
        <v>#NAME?</v>
      </c>
      <c r="Z96" s="22" t="s">
        <v>145</v>
      </c>
      <c r="AA96" s="14">
        <v>2</v>
      </c>
      <c r="AB96" s="14">
        <v>3</v>
      </c>
      <c r="AC96" s="14">
        <v>2</v>
      </c>
      <c r="AD96" s="14">
        <v>7</v>
      </c>
      <c r="AE96" s="15"/>
    </row>
    <row r="97" spans="1:31" ht="81.75" customHeight="1" x14ac:dyDescent="0.4">
      <c r="A97" s="16" t="s">
        <v>21</v>
      </c>
      <c r="B97" s="16" t="s">
        <v>614</v>
      </c>
      <c r="C97" s="16" t="s">
        <v>615</v>
      </c>
      <c r="D97" s="16" t="s">
        <v>616</v>
      </c>
      <c r="E97" s="16" t="s">
        <v>617</v>
      </c>
      <c r="F97" s="16" t="s">
        <v>618</v>
      </c>
      <c r="G97" s="17">
        <v>44578</v>
      </c>
      <c r="H97" s="17">
        <v>44887</v>
      </c>
      <c r="I97" s="16">
        <v>11</v>
      </c>
      <c r="J97" s="16"/>
      <c r="K97" s="16" t="s">
        <v>619</v>
      </c>
      <c r="L97" s="16"/>
      <c r="M97" s="2" t="e">
        <f t="array" aca="1" ref="M97" ca="1">"---Descriptif mission--- "&amp;CHAR(10)&amp;_xludf.textjoin(CHAR(10),FALSE,$A$1:$K$1&amp;": "&amp;A97:K97)</f>
        <v>#NAME?</v>
      </c>
      <c r="N97" s="18" t="str">
        <f ca="1">IFERROR(__xludf.DUMMYFUNCTION("AI($N$1,M97)"),"#NAME?")</f>
        <v>#NAME?</v>
      </c>
      <c r="O97" s="18" t="str">
        <f ca="1">IFERROR(__xludf.DUMMYFUNCTION("AI($O$1,M97)"),"#NAME?")</f>
        <v>#NAME?</v>
      </c>
      <c r="Q97" s="11" t="str">
        <f ca="1">IFERROR(__xludf.DUMMYFUNCTION("REGEXEXTRACT(N97,"" [0-9] "")"),"#NAME?")</f>
        <v>#NAME?</v>
      </c>
      <c r="R97" s="12" t="str">
        <f ca="1">IFERROR(__xludf.DUMMYFUNCTION("REGEXEXTRACT(O97,"" [ABCDEF] "")"),"#NAME?")</f>
        <v>#NAME?</v>
      </c>
      <c r="Z97" s="22" t="s">
        <v>145</v>
      </c>
      <c r="AA97" s="14">
        <v>3</v>
      </c>
      <c r="AB97" s="14">
        <v>3</v>
      </c>
      <c r="AC97" s="14">
        <v>2</v>
      </c>
      <c r="AD97" s="14">
        <v>8</v>
      </c>
      <c r="AE97" s="15"/>
    </row>
    <row r="98" spans="1:31" ht="160.5" customHeight="1" x14ac:dyDescent="0.4">
      <c r="A98" s="9" t="s">
        <v>21</v>
      </c>
      <c r="B98" s="9" t="s">
        <v>109</v>
      </c>
      <c r="C98" s="9" t="s">
        <v>620</v>
      </c>
      <c r="D98" s="9" t="s">
        <v>621</v>
      </c>
      <c r="E98" s="9" t="s">
        <v>622</v>
      </c>
      <c r="F98" s="9" t="s">
        <v>623</v>
      </c>
      <c r="G98" s="10">
        <v>44382</v>
      </c>
      <c r="H98" s="10">
        <v>44834</v>
      </c>
      <c r="I98" s="9">
        <v>15</v>
      </c>
      <c r="J98" s="9" t="s">
        <v>251</v>
      </c>
      <c r="K98" s="9" t="s">
        <v>624</v>
      </c>
      <c r="L98" s="9"/>
      <c r="M98" s="2" t="e">
        <f t="array" aca="1" ref="M98" ca="1">"---Descriptif mission--- "&amp;CHAR(10)&amp;_xludf.textjoin(CHAR(10),FALSE,$A$1:$K$1&amp;": "&amp;A98:K98)</f>
        <v>#NAME?</v>
      </c>
      <c r="N98" s="18" t="str">
        <f ca="1">IFERROR(__xludf.DUMMYFUNCTION("AI($N$1,M98)"),"#NAME?")</f>
        <v>#NAME?</v>
      </c>
      <c r="O98" s="18" t="str">
        <f ca="1">IFERROR(__xludf.DUMMYFUNCTION("AI($O$1,M98)"),"#NAME?")</f>
        <v>#NAME?</v>
      </c>
      <c r="Q98" s="11" t="str">
        <f ca="1">IFERROR(__xludf.DUMMYFUNCTION("REGEXEXTRACT(N98,"" [0-9] "")"),"#NAME?")</f>
        <v>#NAME?</v>
      </c>
      <c r="R98" s="12" t="str">
        <f ca="1">IFERROR(__xludf.DUMMYFUNCTION("REGEXEXTRACT(O98,"" [ABCDEF] "")"),"#NAME?")</f>
        <v>#NAME?</v>
      </c>
      <c r="Z98" s="13" t="s">
        <v>29</v>
      </c>
      <c r="AA98" s="14">
        <v>3</v>
      </c>
      <c r="AB98" s="14">
        <v>1</v>
      </c>
      <c r="AC98" s="14">
        <v>2</v>
      </c>
      <c r="AD98" s="14">
        <v>6</v>
      </c>
      <c r="AE98" s="15"/>
    </row>
    <row r="99" spans="1:31" ht="207.75" customHeight="1" x14ac:dyDescent="0.4">
      <c r="A99" s="16" t="s">
        <v>625</v>
      </c>
      <c r="B99" s="16" t="s">
        <v>626</v>
      </c>
      <c r="C99" s="16" t="s">
        <v>627</v>
      </c>
      <c r="D99" s="16" t="s">
        <v>628</v>
      </c>
      <c r="E99" s="16" t="s">
        <v>629</v>
      </c>
      <c r="F99" s="16" t="s">
        <v>630</v>
      </c>
      <c r="G99" s="17">
        <v>44652</v>
      </c>
      <c r="H99" s="17">
        <v>44804</v>
      </c>
      <c r="I99" s="16">
        <v>5</v>
      </c>
      <c r="J99" s="16"/>
      <c r="K99" s="16" t="s">
        <v>631</v>
      </c>
      <c r="L99" s="16"/>
      <c r="M99" s="2" t="e">
        <f t="array" aca="1" ref="M99" ca="1">"---Descriptif mission--- "&amp;CHAR(10)&amp;_xludf.textjoin(CHAR(10),FALSE,$A$1:$K$1&amp;": "&amp;A99:K99)</f>
        <v>#NAME?</v>
      </c>
      <c r="N99" s="18" t="str">
        <f ca="1">IFERROR(__xludf.DUMMYFUNCTION("AI($N$1,M99)"),"#NAME?")</f>
        <v>#NAME?</v>
      </c>
      <c r="O99" s="18" t="str">
        <f ca="1">IFERROR(__xludf.DUMMYFUNCTION("AI($O$1,M99)"),"#NAME?")</f>
        <v>#NAME?</v>
      </c>
      <c r="Q99" s="11" t="str">
        <f ca="1">IFERROR(__xludf.DUMMYFUNCTION("REGEXEXTRACT(N99,"" [0-9] "")"),"#NAME?")</f>
        <v>#NAME?</v>
      </c>
      <c r="R99" s="12" t="str">
        <f ca="1">IFERROR(__xludf.DUMMYFUNCTION("REGEXEXTRACT(O99,"" [ABCDEF] "")"),"#NAME?")</f>
        <v>#NAME?</v>
      </c>
      <c r="Z99" s="19" t="s">
        <v>43</v>
      </c>
      <c r="AA99" s="14">
        <v>2</v>
      </c>
      <c r="AB99" s="14">
        <v>0</v>
      </c>
      <c r="AC99" s="14">
        <v>3</v>
      </c>
      <c r="AD99" s="14">
        <v>5</v>
      </c>
      <c r="AE99" s="15"/>
    </row>
    <row r="100" spans="1:31" ht="192" customHeight="1" x14ac:dyDescent="0.4">
      <c r="A100" s="9" t="s">
        <v>632</v>
      </c>
      <c r="B100" s="9" t="s">
        <v>633</v>
      </c>
      <c r="C100" s="9" t="s">
        <v>634</v>
      </c>
      <c r="D100" s="9" t="s">
        <v>635</v>
      </c>
      <c r="E100" s="9" t="s">
        <v>636</v>
      </c>
      <c r="F100" s="9" t="s">
        <v>637</v>
      </c>
      <c r="G100" s="10">
        <v>44564</v>
      </c>
      <c r="H100" s="10">
        <v>44746</v>
      </c>
      <c r="I100" s="9">
        <v>7</v>
      </c>
      <c r="J100" s="9" t="s">
        <v>65</v>
      </c>
      <c r="K100" s="9" t="s">
        <v>638</v>
      </c>
      <c r="L100" s="9"/>
      <c r="M100" s="2" t="e">
        <f t="array" aca="1" ref="M100" ca="1">"---Descriptif mission--- "&amp;CHAR(10)&amp;_xludf.textjoin(CHAR(10),FALSE,$A$1:$K$1&amp;": "&amp;A100:K100)</f>
        <v>#NAME?</v>
      </c>
      <c r="N100" s="18" t="str">
        <f ca="1">IFERROR(__xludf.DUMMYFUNCTION("AI($N$1,M100)"),"#NAME?")</f>
        <v>#NAME?</v>
      </c>
      <c r="O100" s="18" t="str">
        <f ca="1">IFERROR(__xludf.DUMMYFUNCTION("AI($O$1,M100)"),"#NAME?")</f>
        <v>#NAME?</v>
      </c>
      <c r="Q100" s="11" t="str">
        <f ca="1">IFERROR(__xludf.DUMMYFUNCTION("REGEXEXTRACT(N100,"" [0-9] "")"),"#NAME?")</f>
        <v>#NAME?</v>
      </c>
      <c r="R100" s="12" t="str">
        <f ca="1">IFERROR(__xludf.DUMMYFUNCTION("REGEXEXTRACT(O100,"" [ABCDEF] "")"),"#NAME?")</f>
        <v>#NAME?</v>
      </c>
      <c r="Z100" s="19" t="s">
        <v>43</v>
      </c>
      <c r="AA100" s="14">
        <v>2</v>
      </c>
      <c r="AB100" s="14">
        <v>0</v>
      </c>
      <c r="AC100" s="14">
        <v>3</v>
      </c>
      <c r="AD100" s="14">
        <v>5</v>
      </c>
      <c r="AE100" s="15"/>
    </row>
    <row r="101" spans="1:31" ht="160.5" customHeight="1" x14ac:dyDescent="0.4">
      <c r="A101" s="16" t="s">
        <v>455</v>
      </c>
      <c r="B101" s="16" t="s">
        <v>639</v>
      </c>
      <c r="C101" s="16" t="s">
        <v>640</v>
      </c>
      <c r="D101" s="16" t="s">
        <v>641</v>
      </c>
      <c r="E101" s="16" t="s">
        <v>642</v>
      </c>
      <c r="F101" s="16" t="s">
        <v>643</v>
      </c>
      <c r="G101" s="17">
        <v>44529</v>
      </c>
      <c r="H101" s="17">
        <v>44561</v>
      </c>
      <c r="I101" s="16">
        <v>2</v>
      </c>
      <c r="J101" s="16" t="s">
        <v>251</v>
      </c>
      <c r="K101" s="16" t="s">
        <v>644</v>
      </c>
      <c r="L101" s="16"/>
      <c r="M101" s="2" t="e">
        <f t="array" aca="1" ref="M101" ca="1">"---Descriptif mission--- "&amp;CHAR(10)&amp;_xludf.textjoin(CHAR(10),FALSE,$A$1:$K$1&amp;": "&amp;A101:K101)</f>
        <v>#NAME?</v>
      </c>
      <c r="N101" s="18" t="str">
        <f ca="1">IFERROR(__xludf.DUMMYFUNCTION("AI($N$1,M101)"),"#NAME?")</f>
        <v>#NAME?</v>
      </c>
      <c r="O101" s="18" t="str">
        <f ca="1">IFERROR(__xludf.DUMMYFUNCTION("AI($O$1,M101)"),"#NAME?")</f>
        <v>#NAME?</v>
      </c>
      <c r="Q101" s="11" t="str">
        <f ca="1">IFERROR(__xludf.DUMMYFUNCTION("REGEXEXTRACT(N101,"" [0-9] "")"),"#NAME?")</f>
        <v>#NAME?</v>
      </c>
      <c r="R101" s="12" t="str">
        <f ca="1">IFERROR(__xludf.DUMMYFUNCTION("REGEXEXTRACT(O101,"" [ABCDEF] "")"),"#NAME?")</f>
        <v>#NAME?</v>
      </c>
      <c r="Z101" s="20" t="s">
        <v>58</v>
      </c>
      <c r="AA101" s="14">
        <v>1</v>
      </c>
      <c r="AB101" s="14">
        <v>0</v>
      </c>
      <c r="AC101" s="14">
        <v>1</v>
      </c>
      <c r="AD101" s="14">
        <v>2</v>
      </c>
      <c r="AE101" s="15"/>
    </row>
    <row r="102" spans="1:31" ht="81.75" customHeight="1" x14ac:dyDescent="0.4">
      <c r="A102" s="9" t="s">
        <v>645</v>
      </c>
      <c r="B102" s="9" t="s">
        <v>646</v>
      </c>
      <c r="C102" s="9" t="s">
        <v>647</v>
      </c>
      <c r="D102" s="9" t="s">
        <v>648</v>
      </c>
      <c r="E102" s="9" t="s">
        <v>649</v>
      </c>
      <c r="F102" s="9" t="s">
        <v>650</v>
      </c>
      <c r="G102" s="10">
        <v>44200</v>
      </c>
      <c r="H102" s="10">
        <v>44379</v>
      </c>
      <c r="I102" s="9">
        <v>7</v>
      </c>
      <c r="J102" s="9"/>
      <c r="K102" s="9" t="s">
        <v>651</v>
      </c>
      <c r="L102" s="9"/>
      <c r="M102" s="2" t="e">
        <f t="array" aca="1" ref="M102" ca="1">"---Descriptif mission--- "&amp;CHAR(10)&amp;_xludf.textjoin(CHAR(10),FALSE,$A$1:$K$1&amp;": "&amp;A102:K102)</f>
        <v>#NAME?</v>
      </c>
      <c r="N102" s="18" t="str">
        <f ca="1">IFERROR(__xludf.DUMMYFUNCTION("AI($N$1,M102)"),"#NAME?")</f>
        <v>#NAME?</v>
      </c>
      <c r="O102" s="18" t="str">
        <f ca="1">IFERROR(__xludf.DUMMYFUNCTION("AI($O$1,M102)"),"#NAME?")</f>
        <v>#NAME?</v>
      </c>
      <c r="Q102" s="11" t="str">
        <f ca="1">IFERROR(__xludf.DUMMYFUNCTION("REGEXEXTRACT(N102,"" [0-9] "")"),"#NAME?")</f>
        <v>#NAME?</v>
      </c>
      <c r="R102" s="12" t="str">
        <f ca="1">IFERROR(__xludf.DUMMYFUNCTION("REGEXEXTRACT(O102,"" [ABCDEF] "")"),"#NAME?")</f>
        <v>#NAME?</v>
      </c>
      <c r="Z102" s="13" t="s">
        <v>29</v>
      </c>
      <c r="AA102" s="14">
        <v>2</v>
      </c>
      <c r="AB102" s="14">
        <v>1</v>
      </c>
      <c r="AC102" s="14">
        <v>2</v>
      </c>
      <c r="AD102" s="14">
        <v>5</v>
      </c>
      <c r="AE102" s="15"/>
    </row>
    <row r="103" spans="1:31" ht="50.25" customHeight="1" x14ac:dyDescent="0.4">
      <c r="A103" s="16" t="s">
        <v>652</v>
      </c>
      <c r="B103" s="16" t="s">
        <v>557</v>
      </c>
      <c r="C103" s="16" t="s">
        <v>653</v>
      </c>
      <c r="D103" s="16" t="s">
        <v>654</v>
      </c>
      <c r="E103" s="16" t="s">
        <v>655</v>
      </c>
      <c r="F103" s="16" t="s">
        <v>656</v>
      </c>
      <c r="G103" s="17">
        <v>43992</v>
      </c>
      <c r="H103" s="17">
        <v>44377</v>
      </c>
      <c r="I103" s="16">
        <v>13</v>
      </c>
      <c r="J103" s="16"/>
      <c r="K103" s="16" t="s">
        <v>657</v>
      </c>
      <c r="L103" s="16"/>
      <c r="M103" s="2" t="e">
        <f t="array" aca="1" ref="M103" ca="1">"---Descriptif mission--- "&amp;CHAR(10)&amp;_xludf.textjoin(CHAR(10),FALSE,$A$1:$K$1&amp;": "&amp;A103:K103)</f>
        <v>#NAME?</v>
      </c>
      <c r="N103" s="18" t="str">
        <f ca="1">IFERROR(__xludf.DUMMYFUNCTION("AI($N$1,M103)"),"#NAME?")</f>
        <v>#NAME?</v>
      </c>
      <c r="O103" s="18" t="str">
        <f ca="1">IFERROR(__xludf.DUMMYFUNCTION("AI($O$1,M103)"),"#NAME?")</f>
        <v>#NAME?</v>
      </c>
      <c r="Q103" s="11" t="str">
        <f ca="1">IFERROR(__xludf.DUMMYFUNCTION("REGEXEXTRACT(N103,"" [0-9] "")"),"#NAME?")</f>
        <v>#NAME?</v>
      </c>
      <c r="R103" s="12" t="str">
        <f ca="1">IFERROR(__xludf.DUMMYFUNCTION("REGEXEXTRACT(O103,"" [ABCDEF] "")"),"#NAME?")</f>
        <v>#NAME?</v>
      </c>
      <c r="Z103" s="22" t="s">
        <v>145</v>
      </c>
      <c r="AA103" s="14">
        <v>3</v>
      </c>
      <c r="AB103" s="14">
        <v>3</v>
      </c>
      <c r="AC103" s="14">
        <v>2</v>
      </c>
      <c r="AD103" s="14">
        <v>8</v>
      </c>
      <c r="AE103" s="15"/>
    </row>
    <row r="104" spans="1:31" ht="192" customHeight="1" x14ac:dyDescent="0.4">
      <c r="A104" s="9" t="s">
        <v>658</v>
      </c>
      <c r="B104" s="9" t="s">
        <v>68</v>
      </c>
      <c r="C104" s="9" t="s">
        <v>659</v>
      </c>
      <c r="D104" s="9" t="s">
        <v>660</v>
      </c>
      <c r="E104" s="9" t="s">
        <v>661</v>
      </c>
      <c r="F104" s="9" t="s">
        <v>662</v>
      </c>
      <c r="G104" s="10">
        <v>44004</v>
      </c>
      <c r="H104" s="10">
        <v>44239</v>
      </c>
      <c r="I104" s="9">
        <v>9</v>
      </c>
      <c r="J104" s="9" t="s">
        <v>159</v>
      </c>
      <c r="K104" s="9" t="s">
        <v>663</v>
      </c>
      <c r="L104" s="9"/>
      <c r="M104" s="2" t="e">
        <f t="array" aca="1" ref="M104" ca="1">"---Descriptif mission--- "&amp;CHAR(10)&amp;_xludf.textjoin(CHAR(10),FALSE,$A$1:$K$1&amp;": "&amp;A104:K104)</f>
        <v>#NAME?</v>
      </c>
      <c r="N104" s="18" t="str">
        <f ca="1">IFERROR(__xludf.DUMMYFUNCTION("AI($N$1,M104)"),"#NAME?")</f>
        <v>#NAME?</v>
      </c>
      <c r="O104" s="18" t="str">
        <f ca="1">IFERROR(__xludf.DUMMYFUNCTION("AI($O$1,M104)"),"#NAME?")</f>
        <v>#NAME?</v>
      </c>
      <c r="Q104" s="11" t="str">
        <f ca="1">IFERROR(__xludf.DUMMYFUNCTION("REGEXEXTRACT(N104,"" [0-9] "")"),"#NAME?")</f>
        <v>#NAME?</v>
      </c>
      <c r="R104" s="12" t="str">
        <f ca="1">IFERROR(__xludf.DUMMYFUNCTION("REGEXEXTRACT(O104,"" [ABCDEF] "")"),"#NAME?")</f>
        <v>#NAME?</v>
      </c>
      <c r="Z104" s="13" t="s">
        <v>29</v>
      </c>
      <c r="AA104" s="14">
        <v>2</v>
      </c>
      <c r="AB104" s="14">
        <v>1</v>
      </c>
      <c r="AC104" s="14">
        <v>2</v>
      </c>
      <c r="AD104" s="14">
        <v>5</v>
      </c>
      <c r="AE104" s="15"/>
    </row>
    <row r="105" spans="1:31" ht="207.75" customHeight="1" x14ac:dyDescent="0.4">
      <c r="A105" s="16" t="s">
        <v>664</v>
      </c>
      <c r="B105" s="16" t="s">
        <v>109</v>
      </c>
      <c r="C105" s="16" t="s">
        <v>110</v>
      </c>
      <c r="D105" s="16" t="s">
        <v>665</v>
      </c>
      <c r="E105" s="16" t="s">
        <v>666</v>
      </c>
      <c r="F105" s="16" t="s">
        <v>667</v>
      </c>
      <c r="G105" s="17">
        <v>44013</v>
      </c>
      <c r="H105" s="17">
        <v>44228</v>
      </c>
      <c r="I105" s="16">
        <v>8</v>
      </c>
      <c r="J105" s="16"/>
      <c r="K105" s="16" t="s">
        <v>668</v>
      </c>
      <c r="L105" s="16"/>
      <c r="M105" s="2" t="e">
        <f t="array" aca="1" ref="M105" ca="1">"---Descriptif mission--- "&amp;CHAR(10)&amp;_xludf.textjoin(CHAR(10),FALSE,$A$1:$K$1&amp;": "&amp;A105:K105)</f>
        <v>#NAME?</v>
      </c>
      <c r="N105" s="18" t="str">
        <f ca="1">IFERROR(__xludf.DUMMYFUNCTION("AI($N$1,M105)"),"#NAME?")</f>
        <v>#NAME?</v>
      </c>
      <c r="O105" s="18" t="str">
        <f ca="1">IFERROR(__xludf.DUMMYFUNCTION("AI($O$1,M105)"),"#NAME?")</f>
        <v>#NAME?</v>
      </c>
      <c r="Q105" s="11" t="str">
        <f ca="1">IFERROR(__xludf.DUMMYFUNCTION("REGEXEXTRACT(N105,"" [0-9] "")"),"#NAME?")</f>
        <v>#NAME?</v>
      </c>
      <c r="R105" s="12" t="str">
        <f ca="1">IFERROR(__xludf.DUMMYFUNCTION("REGEXEXTRACT(O105,"" [ABCDEF] "")"),"#NAME?")</f>
        <v>#NAME?</v>
      </c>
      <c r="Z105" s="13" t="s">
        <v>29</v>
      </c>
      <c r="AA105" s="14">
        <v>2</v>
      </c>
      <c r="AB105" s="14">
        <v>1</v>
      </c>
      <c r="AC105" s="14">
        <v>2</v>
      </c>
      <c r="AD105" s="14">
        <v>5</v>
      </c>
      <c r="AE105" s="15"/>
    </row>
    <row r="106" spans="1:31" ht="207.75" customHeight="1" x14ac:dyDescent="0.4">
      <c r="A106" s="9" t="s">
        <v>21</v>
      </c>
      <c r="B106" s="9" t="s">
        <v>669</v>
      </c>
      <c r="C106" s="9" t="s">
        <v>670</v>
      </c>
      <c r="D106" s="9" t="s">
        <v>671</v>
      </c>
      <c r="E106" s="9" t="s">
        <v>672</v>
      </c>
      <c r="F106" s="9" t="s">
        <v>673</v>
      </c>
      <c r="G106" s="10">
        <v>44018</v>
      </c>
      <c r="H106" s="10">
        <v>44225</v>
      </c>
      <c r="I106" s="9">
        <v>7</v>
      </c>
      <c r="J106" s="9"/>
      <c r="K106" s="9" t="s">
        <v>674</v>
      </c>
      <c r="L106" s="9"/>
      <c r="M106" s="2" t="e">
        <f t="array" aca="1" ref="M106" ca="1">"---Descriptif mission--- "&amp;CHAR(10)&amp;_xludf.textjoin(CHAR(10),FALSE,$A$1:$K$1&amp;": "&amp;A106:K106)</f>
        <v>#NAME?</v>
      </c>
      <c r="N106" s="18" t="str">
        <f ca="1">IFERROR(__xludf.DUMMYFUNCTION("AI($N$1,M106)"),"#NAME?")</f>
        <v>#NAME?</v>
      </c>
      <c r="O106" s="18" t="str">
        <f ca="1">IFERROR(__xludf.DUMMYFUNCTION("AI($O$1,M106)"),"#NAME?")</f>
        <v>#NAME?</v>
      </c>
      <c r="Q106" s="11" t="str">
        <f ca="1">IFERROR(__xludf.DUMMYFUNCTION("REGEXEXTRACT(N106,"" [0-9] "")"),"#NAME?")</f>
        <v>#NAME?</v>
      </c>
      <c r="R106" s="12" t="str">
        <f ca="1">IFERROR(__xludf.DUMMYFUNCTION("REGEXEXTRACT(O106,"" [ABCDEF] "")"),"#NAME?")</f>
        <v>#NAME?</v>
      </c>
      <c r="Z106" s="13" t="s">
        <v>29</v>
      </c>
      <c r="AA106" s="14">
        <v>3</v>
      </c>
      <c r="AB106" s="14">
        <v>1</v>
      </c>
      <c r="AC106" s="14">
        <v>3</v>
      </c>
      <c r="AD106" s="14">
        <v>7</v>
      </c>
      <c r="AE106" s="15"/>
    </row>
    <row r="107" spans="1:31" ht="25.5" customHeight="1" x14ac:dyDescent="0.4">
      <c r="A107" s="36" t="s">
        <v>675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8"/>
    </row>
    <row r="108" spans="1:31" ht="160.5" customHeight="1" x14ac:dyDescent="0.4">
      <c r="A108" s="9" t="s">
        <v>676</v>
      </c>
      <c r="B108" s="9" t="s">
        <v>677</v>
      </c>
      <c r="C108" s="9" t="s">
        <v>678</v>
      </c>
      <c r="D108" s="9" t="s">
        <v>679</v>
      </c>
      <c r="E108" s="9" t="s">
        <v>680</v>
      </c>
      <c r="F108" s="9" t="s">
        <v>681</v>
      </c>
      <c r="G108" s="10">
        <v>44573</v>
      </c>
      <c r="H108" s="10">
        <v>45289</v>
      </c>
      <c r="I108" s="9">
        <v>24</v>
      </c>
      <c r="J108" s="23"/>
      <c r="Z108" s="19" t="s">
        <v>43</v>
      </c>
      <c r="AA108" s="24">
        <v>1</v>
      </c>
      <c r="AB108" s="24">
        <v>0</v>
      </c>
      <c r="AC108" s="24">
        <v>3</v>
      </c>
      <c r="AD108" s="24">
        <v>4</v>
      </c>
    </row>
    <row r="109" spans="1:31" ht="160.5" customHeight="1" x14ac:dyDescent="0.4">
      <c r="A109" s="9" t="s">
        <v>676</v>
      </c>
      <c r="B109" s="9" t="s">
        <v>677</v>
      </c>
      <c r="C109" s="9" t="s">
        <v>678</v>
      </c>
      <c r="D109" s="9" t="s">
        <v>679</v>
      </c>
      <c r="E109" s="9" t="s">
        <v>680</v>
      </c>
      <c r="F109" s="9" t="s">
        <v>681</v>
      </c>
      <c r="G109" s="10">
        <v>44573</v>
      </c>
      <c r="H109" s="10">
        <v>44925</v>
      </c>
      <c r="I109" s="9">
        <v>12</v>
      </c>
      <c r="J109" s="23"/>
      <c r="Z109" s="19" t="s">
        <v>43</v>
      </c>
      <c r="AA109" s="24">
        <v>1</v>
      </c>
      <c r="AB109" s="24">
        <v>0</v>
      </c>
      <c r="AC109" s="24">
        <v>3</v>
      </c>
      <c r="AD109" s="24">
        <v>4</v>
      </c>
    </row>
    <row r="110" spans="1:31" ht="318" customHeight="1" x14ac:dyDescent="0.4">
      <c r="A110" s="9" t="s">
        <v>682</v>
      </c>
      <c r="B110" s="9" t="s">
        <v>683</v>
      </c>
      <c r="C110" s="9" t="s">
        <v>684</v>
      </c>
      <c r="D110" s="9" t="s">
        <v>685</v>
      </c>
      <c r="E110" s="9" t="s">
        <v>686</v>
      </c>
      <c r="F110" s="9" t="s">
        <v>687</v>
      </c>
      <c r="G110" s="10">
        <v>44445</v>
      </c>
      <c r="H110" s="10">
        <v>44806</v>
      </c>
      <c r="I110" s="9">
        <v>12</v>
      </c>
      <c r="J110" s="23"/>
      <c r="Z110" s="22" t="s">
        <v>145</v>
      </c>
      <c r="AA110" s="24">
        <v>3</v>
      </c>
      <c r="AB110" s="24">
        <v>3</v>
      </c>
      <c r="AC110" s="24">
        <v>2</v>
      </c>
      <c r="AD110" s="24">
        <v>8</v>
      </c>
    </row>
    <row r="111" spans="1:31" ht="318" customHeight="1" x14ac:dyDescent="0.4">
      <c r="A111" s="9" t="s">
        <v>169</v>
      </c>
      <c r="B111" s="9" t="s">
        <v>688</v>
      </c>
      <c r="C111" s="9" t="s">
        <v>689</v>
      </c>
      <c r="D111" s="9" t="s">
        <v>690</v>
      </c>
      <c r="E111" s="9" t="s">
        <v>691</v>
      </c>
      <c r="F111" s="9" t="s">
        <v>692</v>
      </c>
      <c r="G111" s="10">
        <v>44634</v>
      </c>
      <c r="H111" s="10">
        <v>44729</v>
      </c>
      <c r="I111" s="9">
        <v>3</v>
      </c>
      <c r="J111" s="23"/>
      <c r="Z111" s="22" t="s">
        <v>145</v>
      </c>
      <c r="AA111" s="24">
        <v>3</v>
      </c>
      <c r="AB111" s="24">
        <v>3</v>
      </c>
      <c r="AC111" s="24">
        <v>2</v>
      </c>
      <c r="AD111" s="24">
        <v>8</v>
      </c>
    </row>
    <row r="112" spans="1:31" ht="270.75" customHeight="1" x14ac:dyDescent="0.4">
      <c r="A112" s="9" t="s">
        <v>693</v>
      </c>
      <c r="B112" s="9" t="s">
        <v>688</v>
      </c>
      <c r="C112" s="9" t="s">
        <v>694</v>
      </c>
      <c r="D112" s="9" t="s">
        <v>693</v>
      </c>
      <c r="E112" s="9" t="s">
        <v>695</v>
      </c>
      <c r="F112" s="9" t="s">
        <v>696</v>
      </c>
      <c r="G112" s="10">
        <v>44459</v>
      </c>
      <c r="H112" s="10">
        <v>44834</v>
      </c>
      <c r="I112" s="9">
        <v>12</v>
      </c>
      <c r="J112" s="23"/>
      <c r="Z112" s="22" t="s">
        <v>145</v>
      </c>
      <c r="AA112" s="24">
        <v>3</v>
      </c>
      <c r="AB112" s="24">
        <v>3</v>
      </c>
      <c r="AC112" s="24">
        <v>2</v>
      </c>
      <c r="AD112" s="24">
        <v>8</v>
      </c>
    </row>
    <row r="113" spans="1:30" ht="381" customHeight="1" x14ac:dyDescent="0.4">
      <c r="A113" s="9" t="s">
        <v>168</v>
      </c>
      <c r="B113" s="9" t="s">
        <v>697</v>
      </c>
      <c r="C113" s="9" t="s">
        <v>698</v>
      </c>
      <c r="D113" s="9" t="s">
        <v>699</v>
      </c>
      <c r="E113" s="9" t="s">
        <v>700</v>
      </c>
      <c r="F113" s="9" t="s">
        <v>701</v>
      </c>
      <c r="G113" s="10">
        <v>44754</v>
      </c>
      <c r="H113" s="10">
        <v>45916</v>
      </c>
      <c r="I113" s="9">
        <v>38</v>
      </c>
      <c r="J113" s="23"/>
      <c r="Z113" s="22" t="s">
        <v>145</v>
      </c>
      <c r="AA113" s="24">
        <v>3</v>
      </c>
      <c r="AB113" s="24">
        <v>3</v>
      </c>
      <c r="AC113" s="24">
        <v>2</v>
      </c>
      <c r="AD113" s="24">
        <v>8</v>
      </c>
    </row>
    <row r="114" spans="1:30" ht="365.25" customHeight="1" x14ac:dyDescent="0.4">
      <c r="A114" s="9" t="s">
        <v>169</v>
      </c>
      <c r="B114" s="9" t="s">
        <v>557</v>
      </c>
      <c r="C114" s="9" t="s">
        <v>702</v>
      </c>
      <c r="D114" s="9" t="s">
        <v>703</v>
      </c>
      <c r="E114" s="9" t="s">
        <v>704</v>
      </c>
      <c r="F114" s="9" t="s">
        <v>705</v>
      </c>
      <c r="G114" s="10">
        <v>44120</v>
      </c>
      <c r="H114" s="10">
        <v>45107</v>
      </c>
      <c r="I114" s="9">
        <v>32</v>
      </c>
      <c r="J114" s="23"/>
      <c r="Z114" s="13" t="s">
        <v>29</v>
      </c>
      <c r="AA114" s="24">
        <v>2</v>
      </c>
      <c r="AB114" s="24">
        <v>2</v>
      </c>
      <c r="AC114" s="24">
        <v>2</v>
      </c>
      <c r="AD114" s="24">
        <v>6</v>
      </c>
    </row>
    <row r="115" spans="1:30" ht="381" customHeight="1" x14ac:dyDescent="0.4">
      <c r="A115" s="9" t="s">
        <v>169</v>
      </c>
      <c r="B115" s="9" t="s">
        <v>706</v>
      </c>
      <c r="C115" s="9" t="s">
        <v>83</v>
      </c>
      <c r="D115" s="9" t="s">
        <v>707</v>
      </c>
      <c r="E115" s="9" t="s">
        <v>708</v>
      </c>
      <c r="F115" s="9" t="s">
        <v>709</v>
      </c>
      <c r="G115" s="10">
        <v>44256</v>
      </c>
      <c r="H115" s="10">
        <v>44827</v>
      </c>
      <c r="I115" s="9">
        <v>19</v>
      </c>
      <c r="J115" s="23"/>
      <c r="Z115" s="22" t="s">
        <v>145</v>
      </c>
      <c r="AA115" s="24">
        <v>3</v>
      </c>
      <c r="AB115" s="24">
        <v>3</v>
      </c>
      <c r="AC115" s="24">
        <v>2</v>
      </c>
      <c r="AD115" s="24">
        <v>8</v>
      </c>
    </row>
    <row r="116" spans="1:30" ht="176.25" customHeight="1" x14ac:dyDescent="0.4">
      <c r="A116" s="9" t="s">
        <v>710</v>
      </c>
      <c r="B116" s="9" t="s">
        <v>711</v>
      </c>
      <c r="C116" s="9" t="s">
        <v>712</v>
      </c>
      <c r="D116" s="9" t="s">
        <v>710</v>
      </c>
      <c r="E116" s="9" t="s">
        <v>713</v>
      </c>
      <c r="F116" s="9" t="s">
        <v>714</v>
      </c>
      <c r="G116" s="10">
        <v>44592</v>
      </c>
      <c r="H116" s="10">
        <v>44659</v>
      </c>
      <c r="I116" s="9">
        <v>2</v>
      </c>
      <c r="J116" s="23"/>
      <c r="Z116" s="22" t="s">
        <v>145</v>
      </c>
      <c r="AA116" s="24">
        <v>3</v>
      </c>
      <c r="AB116" s="24">
        <v>3</v>
      </c>
      <c r="AC116" s="24">
        <v>3</v>
      </c>
      <c r="AD116" s="24">
        <v>9</v>
      </c>
    </row>
    <row r="117" spans="1:30" ht="223.5" customHeight="1" x14ac:dyDescent="0.4">
      <c r="A117" s="9" t="s">
        <v>715</v>
      </c>
      <c r="B117" s="9" t="s">
        <v>162</v>
      </c>
      <c r="C117" s="9" t="s">
        <v>716</v>
      </c>
      <c r="D117" s="9" t="s">
        <v>717</v>
      </c>
      <c r="E117" s="9" t="s">
        <v>718</v>
      </c>
      <c r="F117" s="9" t="s">
        <v>719</v>
      </c>
      <c r="G117" s="10">
        <v>44459</v>
      </c>
      <c r="H117" s="10">
        <v>44832</v>
      </c>
      <c r="I117" s="9">
        <v>12</v>
      </c>
      <c r="J117" s="23"/>
      <c r="Z117" s="22" t="s">
        <v>145</v>
      </c>
      <c r="AA117" s="24">
        <v>3</v>
      </c>
      <c r="AB117" s="24">
        <v>3</v>
      </c>
      <c r="AC117" s="24">
        <v>2</v>
      </c>
      <c r="AD117" s="24">
        <v>8</v>
      </c>
    </row>
    <row r="118" spans="1:30" ht="349.5" customHeight="1" x14ac:dyDescent="0.4">
      <c r="A118" s="9" t="s">
        <v>169</v>
      </c>
      <c r="B118" s="9" t="s">
        <v>109</v>
      </c>
      <c r="C118" s="9" t="s">
        <v>720</v>
      </c>
      <c r="D118" s="9" t="s">
        <v>721</v>
      </c>
      <c r="E118" s="9" t="s">
        <v>722</v>
      </c>
      <c r="F118" s="9" t="s">
        <v>723</v>
      </c>
      <c r="G118" s="10">
        <v>44896</v>
      </c>
      <c r="H118" s="10">
        <v>45282</v>
      </c>
      <c r="I118" s="9">
        <v>13</v>
      </c>
      <c r="J118" s="23"/>
      <c r="Z118" s="22" t="s">
        <v>145</v>
      </c>
      <c r="AA118" s="24">
        <v>3</v>
      </c>
      <c r="AB118" s="24">
        <v>3</v>
      </c>
      <c r="AC118" s="24">
        <v>2</v>
      </c>
      <c r="AD118" s="24">
        <v>8</v>
      </c>
    </row>
    <row r="119" spans="1:30" ht="239.25" customHeight="1" x14ac:dyDescent="0.4">
      <c r="A119" s="9" t="s">
        <v>239</v>
      </c>
      <c r="B119" s="9" t="s">
        <v>724</v>
      </c>
      <c r="C119" s="9" t="s">
        <v>253</v>
      </c>
      <c r="D119" s="9" t="s">
        <v>725</v>
      </c>
      <c r="E119" s="9" t="s">
        <v>726</v>
      </c>
      <c r="F119" s="9" t="s">
        <v>727</v>
      </c>
      <c r="G119" s="10">
        <v>44739</v>
      </c>
      <c r="H119" s="10">
        <v>44757</v>
      </c>
      <c r="I119" s="9">
        <v>1</v>
      </c>
      <c r="J119" s="23"/>
      <c r="Z119" s="22" t="s">
        <v>145</v>
      </c>
      <c r="AA119" s="24">
        <v>3</v>
      </c>
      <c r="AB119" s="24">
        <v>3</v>
      </c>
      <c r="AC119" s="24">
        <v>2</v>
      </c>
      <c r="AD119" s="24">
        <v>8</v>
      </c>
    </row>
    <row r="120" spans="1:30" ht="333.75" customHeight="1" x14ac:dyDescent="0.4">
      <c r="A120" s="9" t="s">
        <v>728</v>
      </c>
      <c r="B120" s="9" t="s">
        <v>729</v>
      </c>
      <c r="C120" s="9" t="s">
        <v>730</v>
      </c>
      <c r="D120" s="9" t="s">
        <v>731</v>
      </c>
      <c r="E120" s="9" t="s">
        <v>732</v>
      </c>
      <c r="F120" s="9" t="s">
        <v>733</v>
      </c>
      <c r="G120" s="10">
        <v>44683</v>
      </c>
      <c r="H120" s="10">
        <v>44834</v>
      </c>
      <c r="I120" s="9">
        <v>5</v>
      </c>
      <c r="J120" s="23"/>
      <c r="Z120" s="22" t="s">
        <v>145</v>
      </c>
      <c r="AA120" s="24">
        <v>3</v>
      </c>
      <c r="AB120" s="24">
        <v>3</v>
      </c>
      <c r="AC120" s="24">
        <v>2</v>
      </c>
      <c r="AD120" s="24">
        <v>8</v>
      </c>
    </row>
    <row r="121" spans="1:30" ht="302.25" customHeight="1" x14ac:dyDescent="0.4">
      <c r="A121" s="9" t="s">
        <v>734</v>
      </c>
      <c r="B121" s="9" t="s">
        <v>68</v>
      </c>
      <c r="C121" s="9" t="s">
        <v>735</v>
      </c>
      <c r="D121" s="9" t="s">
        <v>736</v>
      </c>
      <c r="E121" s="9" t="s">
        <v>737</v>
      </c>
      <c r="F121" s="9" t="s">
        <v>738</v>
      </c>
      <c r="G121" s="10">
        <v>44852</v>
      </c>
      <c r="H121" s="10">
        <v>44965</v>
      </c>
      <c r="I121" s="9">
        <v>4</v>
      </c>
      <c r="J121" s="23"/>
      <c r="Z121" s="13" t="s">
        <v>29</v>
      </c>
      <c r="AA121" s="24">
        <v>3</v>
      </c>
      <c r="AB121" s="24">
        <v>2</v>
      </c>
      <c r="AC121" s="24">
        <v>2</v>
      </c>
      <c r="AD121" s="24">
        <v>7</v>
      </c>
    </row>
    <row r="122" spans="1:30" ht="365.25" customHeight="1" x14ac:dyDescent="0.4">
      <c r="A122" s="9" t="s">
        <v>739</v>
      </c>
      <c r="B122" s="9" t="s">
        <v>740</v>
      </c>
      <c r="C122" s="9" t="s">
        <v>741</v>
      </c>
      <c r="D122" s="9" t="s">
        <v>742</v>
      </c>
      <c r="E122" s="9" t="s">
        <v>743</v>
      </c>
      <c r="F122" s="9" t="s">
        <v>744</v>
      </c>
      <c r="G122" s="10">
        <v>44291</v>
      </c>
      <c r="H122" s="10">
        <v>44610</v>
      </c>
      <c r="I122" s="9">
        <v>10</v>
      </c>
      <c r="J122" s="23"/>
      <c r="Z122" s="22" t="s">
        <v>145</v>
      </c>
      <c r="AA122" s="24">
        <v>3</v>
      </c>
      <c r="AB122" s="24">
        <v>3</v>
      </c>
      <c r="AC122" s="24">
        <v>2</v>
      </c>
      <c r="AD122" s="24">
        <v>8</v>
      </c>
    </row>
    <row r="123" spans="1:30" ht="176.25" customHeight="1" x14ac:dyDescent="0.4">
      <c r="A123" s="9" t="s">
        <v>745</v>
      </c>
      <c r="B123" s="9" t="s">
        <v>746</v>
      </c>
      <c r="C123" s="9" t="s">
        <v>746</v>
      </c>
      <c r="D123" s="9" t="s">
        <v>747</v>
      </c>
      <c r="E123" s="9" t="s">
        <v>748</v>
      </c>
      <c r="F123" s="9" t="s">
        <v>749</v>
      </c>
      <c r="G123" s="10">
        <v>44844</v>
      </c>
      <c r="H123" s="10">
        <v>45107</v>
      </c>
      <c r="I123" s="9">
        <v>9</v>
      </c>
      <c r="J123" s="23"/>
      <c r="Z123" s="22" t="s">
        <v>145</v>
      </c>
      <c r="AA123" s="24">
        <v>3</v>
      </c>
      <c r="AB123" s="24">
        <v>3</v>
      </c>
      <c r="AC123" s="24">
        <v>2</v>
      </c>
      <c r="AD123" s="24">
        <v>8</v>
      </c>
    </row>
    <row r="124" spans="1:30" ht="318" customHeight="1" x14ac:dyDescent="0.4">
      <c r="A124" s="9" t="s">
        <v>750</v>
      </c>
      <c r="B124" s="9" t="s">
        <v>751</v>
      </c>
      <c r="C124" s="9" t="s">
        <v>752</v>
      </c>
      <c r="D124" s="9" t="s">
        <v>753</v>
      </c>
      <c r="E124" s="9" t="s">
        <v>754</v>
      </c>
      <c r="F124" s="9" t="s">
        <v>755</v>
      </c>
      <c r="G124" s="10">
        <v>44445</v>
      </c>
      <c r="H124" s="10">
        <v>45184</v>
      </c>
      <c r="I124" s="9">
        <v>24</v>
      </c>
      <c r="J124" s="23"/>
      <c r="Z124" s="22" t="s">
        <v>145</v>
      </c>
      <c r="AA124" s="24">
        <v>3</v>
      </c>
      <c r="AB124" s="24">
        <v>3</v>
      </c>
      <c r="AC124" s="24">
        <v>2</v>
      </c>
      <c r="AD124" s="24">
        <v>8</v>
      </c>
    </row>
    <row r="125" spans="1:30" ht="270.75" customHeight="1" x14ac:dyDescent="0.4">
      <c r="A125" s="9" t="s">
        <v>756</v>
      </c>
      <c r="B125" s="9" t="s">
        <v>757</v>
      </c>
      <c r="C125" s="9" t="s">
        <v>758</v>
      </c>
      <c r="D125" s="9" t="s">
        <v>759</v>
      </c>
      <c r="E125" s="9" t="s">
        <v>760</v>
      </c>
      <c r="F125" s="9" t="s">
        <v>761</v>
      </c>
      <c r="G125" s="10">
        <v>45180</v>
      </c>
      <c r="H125" s="10">
        <v>45215</v>
      </c>
      <c r="I125" s="9">
        <v>1</v>
      </c>
      <c r="J125" s="23"/>
      <c r="Z125" s="13" t="s">
        <v>29</v>
      </c>
      <c r="AA125" s="24">
        <v>3</v>
      </c>
      <c r="AB125" s="24">
        <v>2</v>
      </c>
      <c r="AC125" s="24">
        <v>2</v>
      </c>
      <c r="AD125" s="24">
        <v>7</v>
      </c>
    </row>
    <row r="126" spans="1:30" ht="318" customHeight="1" x14ac:dyDescent="0.4">
      <c r="A126" s="9" t="s">
        <v>169</v>
      </c>
      <c r="B126" s="9" t="s">
        <v>762</v>
      </c>
      <c r="C126" s="9" t="s">
        <v>763</v>
      </c>
      <c r="D126" s="9" t="s">
        <v>764</v>
      </c>
      <c r="E126" s="9" t="s">
        <v>765</v>
      </c>
      <c r="F126" s="9" t="s">
        <v>766</v>
      </c>
      <c r="G126" s="10">
        <v>44743</v>
      </c>
      <c r="H126" s="10">
        <v>44925</v>
      </c>
      <c r="I126" s="9">
        <v>6</v>
      </c>
      <c r="J126" s="23"/>
      <c r="Z126" s="22" t="s">
        <v>145</v>
      </c>
      <c r="AA126" s="24">
        <v>3</v>
      </c>
      <c r="AB126" s="24">
        <v>3</v>
      </c>
      <c r="AC126" s="24">
        <v>2</v>
      </c>
      <c r="AD126" s="24">
        <v>8</v>
      </c>
    </row>
    <row r="127" spans="1:30" ht="270.75" customHeight="1" x14ac:dyDescent="0.4">
      <c r="A127" s="9" t="s">
        <v>169</v>
      </c>
      <c r="B127" s="9" t="s">
        <v>767</v>
      </c>
      <c r="C127" s="9" t="s">
        <v>768</v>
      </c>
      <c r="D127" s="9" t="s">
        <v>769</v>
      </c>
      <c r="E127" s="9" t="s">
        <v>770</v>
      </c>
      <c r="F127" s="9" t="s">
        <v>771</v>
      </c>
      <c r="G127" s="10">
        <v>44516</v>
      </c>
      <c r="H127" s="10">
        <v>44742</v>
      </c>
      <c r="I127" s="9">
        <v>7</v>
      </c>
      <c r="J127" s="23"/>
      <c r="Z127" s="22" t="s">
        <v>145</v>
      </c>
      <c r="AA127" s="24">
        <v>3</v>
      </c>
      <c r="AB127" s="24">
        <v>3</v>
      </c>
      <c r="AC127" s="24">
        <v>2</v>
      </c>
      <c r="AD127" s="24">
        <v>8</v>
      </c>
    </row>
    <row r="128" spans="1:30" ht="365.25" customHeight="1" x14ac:dyDescent="0.4">
      <c r="A128" s="9" t="s">
        <v>772</v>
      </c>
      <c r="B128" s="9" t="s">
        <v>773</v>
      </c>
      <c r="C128" s="9" t="s">
        <v>774</v>
      </c>
      <c r="D128" s="9" t="s">
        <v>775</v>
      </c>
      <c r="E128" s="9" t="s">
        <v>776</v>
      </c>
      <c r="F128" s="9" t="s">
        <v>777</v>
      </c>
      <c r="G128" s="10">
        <v>45047</v>
      </c>
      <c r="H128" s="10">
        <v>45169</v>
      </c>
      <c r="I128" s="9">
        <v>4</v>
      </c>
      <c r="J128" s="23"/>
      <c r="Z128" s="13" t="s">
        <v>29</v>
      </c>
      <c r="AA128" s="24">
        <v>2</v>
      </c>
      <c r="AB128" s="24">
        <v>2</v>
      </c>
      <c r="AC128" s="24">
        <v>2</v>
      </c>
      <c r="AD128" s="24">
        <v>6</v>
      </c>
    </row>
    <row r="129" spans="1:30" ht="144.75" customHeight="1" x14ac:dyDescent="0.4">
      <c r="A129" s="9" t="s">
        <v>778</v>
      </c>
      <c r="B129" s="9" t="s">
        <v>109</v>
      </c>
      <c r="C129" s="9" t="s">
        <v>779</v>
      </c>
      <c r="D129" s="9" t="s">
        <v>780</v>
      </c>
      <c r="E129" s="9" t="s">
        <v>781</v>
      </c>
      <c r="F129" s="9" t="s">
        <v>782</v>
      </c>
      <c r="G129" s="10">
        <v>44907</v>
      </c>
      <c r="H129" s="10">
        <v>45289</v>
      </c>
      <c r="I129" s="9">
        <v>13</v>
      </c>
      <c r="J129" s="23"/>
      <c r="Z129" s="22" t="s">
        <v>145</v>
      </c>
      <c r="AA129" s="24">
        <v>3</v>
      </c>
      <c r="AB129" s="24">
        <v>3</v>
      </c>
      <c r="AC129" s="24">
        <v>2</v>
      </c>
      <c r="AD129" s="24">
        <v>8</v>
      </c>
    </row>
    <row r="130" spans="1:30" ht="408.75" customHeight="1" x14ac:dyDescent="0.4">
      <c r="A130" s="9" t="s">
        <v>783</v>
      </c>
      <c r="B130" s="9" t="s">
        <v>109</v>
      </c>
      <c r="C130" s="9" t="s">
        <v>784</v>
      </c>
      <c r="D130" s="9" t="s">
        <v>785</v>
      </c>
      <c r="E130" s="9" t="s">
        <v>786</v>
      </c>
      <c r="F130" s="9" t="s">
        <v>787</v>
      </c>
      <c r="G130" s="10">
        <v>45019</v>
      </c>
      <c r="H130" s="10">
        <v>45198</v>
      </c>
      <c r="I130" s="9">
        <v>6</v>
      </c>
      <c r="J130" s="23"/>
      <c r="Z130" s="13" t="s">
        <v>29</v>
      </c>
      <c r="AA130" s="24">
        <v>3</v>
      </c>
      <c r="AB130" s="24">
        <v>2</v>
      </c>
      <c r="AC130" s="24">
        <v>1</v>
      </c>
      <c r="AD130" s="24">
        <v>6</v>
      </c>
    </row>
    <row r="131" spans="1:30" ht="349.5" customHeight="1" x14ac:dyDescent="0.4">
      <c r="A131" s="9" t="s">
        <v>788</v>
      </c>
      <c r="B131" s="9" t="s">
        <v>789</v>
      </c>
      <c r="C131" s="9" t="s">
        <v>790</v>
      </c>
      <c r="D131" s="9" t="s">
        <v>791</v>
      </c>
      <c r="E131" s="9" t="s">
        <v>792</v>
      </c>
      <c r="F131" s="9" t="s">
        <v>793</v>
      </c>
      <c r="G131" s="10">
        <v>45236</v>
      </c>
      <c r="H131" s="10">
        <v>45351</v>
      </c>
      <c r="I131" s="9">
        <v>4</v>
      </c>
      <c r="J131" s="23"/>
      <c r="Z131" s="22" t="s">
        <v>145</v>
      </c>
      <c r="AA131" s="24">
        <v>3</v>
      </c>
      <c r="AB131" s="24">
        <v>3</v>
      </c>
      <c r="AC131" s="24">
        <v>2</v>
      </c>
      <c r="AD131" s="24">
        <v>8</v>
      </c>
    </row>
    <row r="132" spans="1:30" ht="113.25" customHeight="1" x14ac:dyDescent="0.4">
      <c r="A132" s="9" t="s">
        <v>169</v>
      </c>
      <c r="B132" s="9" t="s">
        <v>794</v>
      </c>
      <c r="C132" s="9" t="s">
        <v>795</v>
      </c>
      <c r="D132" s="9" t="s">
        <v>796</v>
      </c>
      <c r="E132" s="9" t="s">
        <v>797</v>
      </c>
      <c r="F132" s="9" t="s">
        <v>798</v>
      </c>
      <c r="G132" s="10">
        <v>45362</v>
      </c>
      <c r="H132" s="10">
        <v>45408</v>
      </c>
      <c r="I132" s="9">
        <v>2</v>
      </c>
      <c r="J132" s="23"/>
      <c r="Z132" s="22" t="s">
        <v>145</v>
      </c>
      <c r="AA132" s="24">
        <v>3</v>
      </c>
      <c r="AB132" s="24">
        <v>3</v>
      </c>
      <c r="AC132" s="24">
        <v>2</v>
      </c>
      <c r="AD132" s="24">
        <v>8</v>
      </c>
    </row>
    <row r="133" spans="1:30" ht="255" customHeight="1" x14ac:dyDescent="0.4">
      <c r="A133" s="9" t="s">
        <v>21</v>
      </c>
      <c r="B133" s="9" t="s">
        <v>799</v>
      </c>
      <c r="C133" s="9" t="s">
        <v>800</v>
      </c>
      <c r="D133" s="9" t="s">
        <v>801</v>
      </c>
      <c r="E133" s="9" t="s">
        <v>802</v>
      </c>
      <c r="F133" s="9" t="s">
        <v>803</v>
      </c>
      <c r="G133" s="10">
        <v>44713</v>
      </c>
      <c r="H133" s="10">
        <v>44805</v>
      </c>
      <c r="I133" s="9">
        <v>3</v>
      </c>
      <c r="J133" s="23"/>
      <c r="Z133" s="22" t="s">
        <v>145</v>
      </c>
      <c r="AA133" s="24">
        <v>3</v>
      </c>
      <c r="AB133" s="24">
        <v>3</v>
      </c>
      <c r="AC133" s="24">
        <v>2</v>
      </c>
      <c r="AD133" s="24">
        <v>8</v>
      </c>
    </row>
    <row r="134" spans="1:30" ht="192" customHeight="1" x14ac:dyDescent="0.4">
      <c r="A134" s="9" t="s">
        <v>168</v>
      </c>
      <c r="B134" s="9" t="s">
        <v>804</v>
      </c>
      <c r="C134" s="9" t="s">
        <v>805</v>
      </c>
      <c r="D134" s="9" t="s">
        <v>806</v>
      </c>
      <c r="E134" s="9" t="s">
        <v>807</v>
      </c>
      <c r="F134" s="9" t="s">
        <v>808</v>
      </c>
      <c r="G134" s="10">
        <v>45261</v>
      </c>
      <c r="H134" s="10">
        <v>45351</v>
      </c>
      <c r="I134" s="9">
        <v>3</v>
      </c>
      <c r="J134" s="23"/>
      <c r="Z134" s="22" t="s">
        <v>145</v>
      </c>
      <c r="AA134" s="24">
        <v>3</v>
      </c>
      <c r="AB134" s="24">
        <v>3</v>
      </c>
      <c r="AC134" s="24">
        <v>3</v>
      </c>
      <c r="AD134" s="24">
        <v>9</v>
      </c>
    </row>
    <row r="135" spans="1:30" ht="270.75" customHeight="1" x14ac:dyDescent="0.4">
      <c r="A135" s="9" t="s">
        <v>809</v>
      </c>
      <c r="B135" s="9" t="s">
        <v>810</v>
      </c>
      <c r="C135" s="9" t="s">
        <v>811</v>
      </c>
      <c r="D135" s="9" t="s">
        <v>812</v>
      </c>
      <c r="E135" s="9" t="s">
        <v>813</v>
      </c>
      <c r="F135" s="9" t="s">
        <v>814</v>
      </c>
      <c r="G135" s="10">
        <v>43892</v>
      </c>
      <c r="H135" s="10">
        <v>44957</v>
      </c>
      <c r="I135" s="9">
        <v>35</v>
      </c>
      <c r="J135" s="23"/>
      <c r="Z135" s="22" t="s">
        <v>145</v>
      </c>
      <c r="AA135" s="24">
        <v>3</v>
      </c>
      <c r="AB135" s="24">
        <v>3</v>
      </c>
      <c r="AC135" s="24">
        <v>2</v>
      </c>
      <c r="AD135" s="24">
        <v>8</v>
      </c>
    </row>
    <row r="136" spans="1:30" ht="255" customHeight="1" x14ac:dyDescent="0.4">
      <c r="A136" s="9" t="s">
        <v>168</v>
      </c>
      <c r="B136" s="9" t="s">
        <v>246</v>
      </c>
      <c r="C136" s="9" t="s">
        <v>815</v>
      </c>
      <c r="D136" s="9" t="s">
        <v>816</v>
      </c>
      <c r="E136" s="9" t="s">
        <v>817</v>
      </c>
      <c r="F136" s="9" t="s">
        <v>818</v>
      </c>
      <c r="G136" s="10">
        <v>45432</v>
      </c>
      <c r="H136" s="10">
        <v>45436</v>
      </c>
      <c r="I136" s="9"/>
      <c r="J136" s="23"/>
      <c r="Z136" s="22" t="s">
        <v>145</v>
      </c>
      <c r="AA136" s="24">
        <v>3</v>
      </c>
      <c r="AB136" s="24">
        <v>3</v>
      </c>
      <c r="AC136" s="24">
        <v>2</v>
      </c>
      <c r="AD136" s="24">
        <v>8</v>
      </c>
    </row>
    <row r="137" spans="1:30" ht="381" customHeight="1" x14ac:dyDescent="0.4">
      <c r="A137" s="9" t="s">
        <v>819</v>
      </c>
      <c r="B137" s="9" t="s">
        <v>820</v>
      </c>
      <c r="C137" s="9" t="s">
        <v>821</v>
      </c>
      <c r="D137" s="9" t="s">
        <v>822</v>
      </c>
      <c r="E137" s="9" t="s">
        <v>823</v>
      </c>
      <c r="F137" s="9" t="s">
        <v>824</v>
      </c>
      <c r="G137" s="10">
        <v>45355</v>
      </c>
      <c r="H137" s="10">
        <v>45534</v>
      </c>
      <c r="I137" s="9">
        <v>6</v>
      </c>
      <c r="J137" s="23"/>
      <c r="Z137" s="22" t="s">
        <v>145</v>
      </c>
      <c r="AA137" s="24">
        <v>3</v>
      </c>
      <c r="AB137" s="24">
        <v>3</v>
      </c>
      <c r="AC137" s="24">
        <v>2</v>
      </c>
      <c r="AD137" s="24">
        <v>8</v>
      </c>
    </row>
    <row r="138" spans="1:30" ht="381" customHeight="1" x14ac:dyDescent="0.4">
      <c r="A138" s="9" t="s">
        <v>825</v>
      </c>
      <c r="B138" s="9" t="s">
        <v>820</v>
      </c>
      <c r="C138" s="9" t="s">
        <v>826</v>
      </c>
      <c r="D138" s="9" t="s">
        <v>827</v>
      </c>
      <c r="E138" s="9" t="s">
        <v>828</v>
      </c>
      <c r="F138" s="9" t="s">
        <v>829</v>
      </c>
      <c r="G138" s="10">
        <v>45414</v>
      </c>
      <c r="H138" s="10">
        <v>45446</v>
      </c>
      <c r="I138" s="9">
        <v>1</v>
      </c>
      <c r="J138" s="23"/>
      <c r="Z138" s="22" t="s">
        <v>145</v>
      </c>
      <c r="AA138" s="24">
        <v>3</v>
      </c>
      <c r="AB138" s="24">
        <v>3</v>
      </c>
      <c r="AC138" s="24">
        <v>2</v>
      </c>
      <c r="AD138" s="24">
        <v>8</v>
      </c>
    </row>
    <row r="139" spans="1:30" ht="318" customHeight="1" x14ac:dyDescent="0.4">
      <c r="A139" s="9" t="s">
        <v>830</v>
      </c>
      <c r="B139" s="9" t="s">
        <v>831</v>
      </c>
      <c r="C139" s="9" t="s">
        <v>347</v>
      </c>
      <c r="D139" s="9" t="s">
        <v>832</v>
      </c>
      <c r="E139" s="9" t="s">
        <v>833</v>
      </c>
      <c r="F139" s="9" t="s">
        <v>834</v>
      </c>
      <c r="G139" s="10">
        <v>45078</v>
      </c>
      <c r="H139" s="10">
        <v>45169</v>
      </c>
      <c r="I139" s="9">
        <v>3</v>
      </c>
      <c r="J139" s="23"/>
      <c r="Z139" s="22" t="s">
        <v>145</v>
      </c>
      <c r="AA139" s="24">
        <v>3</v>
      </c>
      <c r="AB139" s="24">
        <v>3</v>
      </c>
      <c r="AC139" s="24">
        <v>2</v>
      </c>
      <c r="AD139" s="24">
        <v>8</v>
      </c>
    </row>
    <row r="140" spans="1:30" ht="270.75" customHeight="1" x14ac:dyDescent="0.4">
      <c r="A140" s="9" t="s">
        <v>169</v>
      </c>
      <c r="B140" s="9" t="s">
        <v>835</v>
      </c>
      <c r="C140" s="9" t="s">
        <v>11</v>
      </c>
      <c r="D140" s="9" t="s">
        <v>836</v>
      </c>
      <c r="E140" s="9" t="s">
        <v>837</v>
      </c>
      <c r="F140" s="9" t="s">
        <v>838</v>
      </c>
      <c r="G140" s="10">
        <v>44683</v>
      </c>
      <c r="H140" s="10">
        <v>44775</v>
      </c>
      <c r="I140" s="9">
        <v>3</v>
      </c>
      <c r="J140" s="23"/>
      <c r="Z140" s="22" t="s">
        <v>145</v>
      </c>
      <c r="AA140" s="24">
        <v>3</v>
      </c>
      <c r="AB140" s="24">
        <v>3</v>
      </c>
      <c r="AC140" s="24">
        <v>2</v>
      </c>
      <c r="AD140" s="24">
        <v>8</v>
      </c>
    </row>
    <row r="141" spans="1:30" ht="97.5" customHeight="1" x14ac:dyDescent="0.4">
      <c r="A141" s="9" t="s">
        <v>839</v>
      </c>
      <c r="B141" s="9" t="s">
        <v>840</v>
      </c>
      <c r="C141" s="9" t="s">
        <v>841</v>
      </c>
      <c r="D141" s="9" t="s">
        <v>842</v>
      </c>
      <c r="E141" s="9" t="s">
        <v>843</v>
      </c>
      <c r="F141" s="9" t="s">
        <v>844</v>
      </c>
      <c r="G141" s="10">
        <v>45323</v>
      </c>
      <c r="H141" s="10">
        <v>45562</v>
      </c>
      <c r="I141" s="9">
        <v>8</v>
      </c>
      <c r="J141" s="23"/>
      <c r="Z141" s="13" t="s">
        <v>29</v>
      </c>
      <c r="AA141" s="24">
        <v>3</v>
      </c>
      <c r="AB141" s="24">
        <v>2</v>
      </c>
      <c r="AC141" s="24">
        <v>2</v>
      </c>
      <c r="AD141" s="24">
        <v>7</v>
      </c>
    </row>
    <row r="142" spans="1:30" ht="81.75" customHeight="1" x14ac:dyDescent="0.4">
      <c r="A142" s="9" t="s">
        <v>169</v>
      </c>
      <c r="B142" s="9" t="s">
        <v>22</v>
      </c>
      <c r="C142" s="9" t="s">
        <v>845</v>
      </c>
      <c r="D142" s="9" t="s">
        <v>846</v>
      </c>
      <c r="E142" s="9" t="s">
        <v>847</v>
      </c>
      <c r="F142" s="9" t="s">
        <v>848</v>
      </c>
      <c r="G142" s="10">
        <v>45575</v>
      </c>
      <c r="H142" s="10">
        <v>46022</v>
      </c>
      <c r="I142" s="9">
        <v>15</v>
      </c>
      <c r="J142" s="23"/>
      <c r="Z142" s="22" t="s">
        <v>145</v>
      </c>
      <c r="AA142" s="24">
        <v>3</v>
      </c>
      <c r="AB142" s="24">
        <v>3</v>
      </c>
      <c r="AC142" s="24">
        <v>2</v>
      </c>
      <c r="AD142" s="24">
        <v>8</v>
      </c>
    </row>
    <row r="143" spans="1:30" ht="381" customHeight="1" x14ac:dyDescent="0.4">
      <c r="A143" s="9" t="s">
        <v>168</v>
      </c>
      <c r="B143" s="9" t="s">
        <v>849</v>
      </c>
      <c r="C143" s="9" t="s">
        <v>850</v>
      </c>
      <c r="D143" s="9" t="s">
        <v>851</v>
      </c>
      <c r="E143" s="9" t="s">
        <v>852</v>
      </c>
      <c r="F143" s="9" t="s">
        <v>853</v>
      </c>
      <c r="G143" s="10">
        <v>45033</v>
      </c>
      <c r="H143" s="10">
        <v>45212</v>
      </c>
      <c r="I143" s="9">
        <v>6</v>
      </c>
      <c r="J143" s="23"/>
      <c r="Z143" s="22" t="s">
        <v>145</v>
      </c>
      <c r="AA143" s="24">
        <v>3</v>
      </c>
      <c r="AB143" s="24">
        <v>3</v>
      </c>
      <c r="AC143" s="24">
        <v>2</v>
      </c>
      <c r="AD143" s="24">
        <v>8</v>
      </c>
    </row>
    <row r="144" spans="1:30" ht="365.25" customHeight="1" x14ac:dyDescent="0.4">
      <c r="A144" s="9" t="s">
        <v>854</v>
      </c>
      <c r="B144" s="9" t="s">
        <v>855</v>
      </c>
      <c r="C144" s="9" t="s">
        <v>856</v>
      </c>
      <c r="D144" s="9" t="s">
        <v>857</v>
      </c>
      <c r="E144" s="9" t="s">
        <v>858</v>
      </c>
      <c r="F144" s="9" t="s">
        <v>859</v>
      </c>
      <c r="G144" s="10">
        <v>44866</v>
      </c>
      <c r="H144" s="10">
        <v>45016</v>
      </c>
      <c r="I144" s="9">
        <v>5</v>
      </c>
      <c r="J144" s="23"/>
      <c r="Z144" s="22" t="s">
        <v>145</v>
      </c>
      <c r="AA144" s="24">
        <v>3</v>
      </c>
      <c r="AB144" s="24">
        <v>3</v>
      </c>
      <c r="AC144" s="24">
        <v>2</v>
      </c>
      <c r="AD144" s="24">
        <v>8</v>
      </c>
    </row>
    <row r="145" spans="1:30" ht="192" customHeight="1" x14ac:dyDescent="0.4">
      <c r="A145" s="9" t="s">
        <v>860</v>
      </c>
      <c r="B145" s="9" t="s">
        <v>861</v>
      </c>
      <c r="C145" s="9" t="s">
        <v>862</v>
      </c>
      <c r="D145" s="9" t="s">
        <v>721</v>
      </c>
      <c r="E145" s="9" t="s">
        <v>863</v>
      </c>
      <c r="F145" s="9" t="s">
        <v>864</v>
      </c>
      <c r="G145" s="10">
        <v>45413</v>
      </c>
      <c r="H145" s="10">
        <v>45807</v>
      </c>
      <c r="I145" s="9">
        <v>13</v>
      </c>
      <c r="J145" s="23"/>
      <c r="Z145" s="13" t="s">
        <v>29</v>
      </c>
      <c r="AA145" s="24">
        <v>3</v>
      </c>
      <c r="AB145" s="24">
        <v>2</v>
      </c>
      <c r="AC145" s="24">
        <v>3</v>
      </c>
      <c r="AD145" s="24">
        <v>8</v>
      </c>
    </row>
    <row r="146" spans="1:30" ht="333.75" customHeight="1" x14ac:dyDescent="0.4">
      <c r="A146" s="9" t="s">
        <v>865</v>
      </c>
      <c r="B146" s="9" t="s">
        <v>866</v>
      </c>
      <c r="C146" s="9" t="s">
        <v>867</v>
      </c>
      <c r="D146" s="9" t="s">
        <v>868</v>
      </c>
      <c r="E146" s="9" t="s">
        <v>869</v>
      </c>
      <c r="F146" s="25" t="s">
        <v>870</v>
      </c>
      <c r="G146" s="10">
        <v>44536</v>
      </c>
      <c r="H146" s="10">
        <v>45033</v>
      </c>
      <c r="I146" s="9">
        <v>16</v>
      </c>
      <c r="J146" s="23"/>
      <c r="Z146" s="22" t="s">
        <v>145</v>
      </c>
      <c r="AA146" s="24">
        <v>3</v>
      </c>
      <c r="AB146" s="24">
        <v>3</v>
      </c>
      <c r="AC146" s="24">
        <v>3</v>
      </c>
      <c r="AD146" s="24">
        <v>9</v>
      </c>
    </row>
    <row r="147" spans="1:30" ht="302.25" customHeight="1" x14ac:dyDescent="0.4">
      <c r="A147" s="9" t="s">
        <v>865</v>
      </c>
      <c r="B147" s="9" t="s">
        <v>866</v>
      </c>
      <c r="C147" s="9" t="s">
        <v>867</v>
      </c>
      <c r="D147" s="9" t="s">
        <v>871</v>
      </c>
      <c r="E147" s="9" t="s">
        <v>872</v>
      </c>
      <c r="F147" s="9" t="s">
        <v>873</v>
      </c>
      <c r="G147" s="10">
        <v>44536</v>
      </c>
      <c r="H147" s="10">
        <v>45033</v>
      </c>
      <c r="I147" s="9">
        <v>16</v>
      </c>
      <c r="J147" s="23"/>
      <c r="Z147" s="13" t="s">
        <v>29</v>
      </c>
      <c r="AA147" s="24">
        <v>2</v>
      </c>
      <c r="AB147" s="24">
        <v>2</v>
      </c>
      <c r="AC147" s="24">
        <v>2</v>
      </c>
      <c r="AD147" s="24">
        <v>6</v>
      </c>
    </row>
    <row r="148" spans="1:30" ht="302.25" customHeight="1" x14ac:dyDescent="0.4">
      <c r="A148" s="9" t="s">
        <v>874</v>
      </c>
      <c r="B148" s="9" t="s">
        <v>68</v>
      </c>
      <c r="C148" s="9" t="s">
        <v>875</v>
      </c>
      <c r="D148" s="9" t="s">
        <v>876</v>
      </c>
      <c r="E148" s="9" t="s">
        <v>877</v>
      </c>
      <c r="F148" s="9" t="s">
        <v>878</v>
      </c>
      <c r="G148" s="10">
        <v>45930</v>
      </c>
      <c r="H148" s="10">
        <v>46112</v>
      </c>
      <c r="I148" s="9">
        <v>6</v>
      </c>
      <c r="J148" s="23"/>
      <c r="Z148" s="22" t="s">
        <v>145</v>
      </c>
      <c r="AA148" s="24">
        <v>3</v>
      </c>
      <c r="AB148" s="24">
        <v>3</v>
      </c>
      <c r="AC148" s="24">
        <v>2</v>
      </c>
      <c r="AD148" s="24">
        <v>8</v>
      </c>
    </row>
    <row r="149" spans="1:30" ht="408.75" customHeight="1" x14ac:dyDescent="0.4">
      <c r="A149" s="9" t="s">
        <v>169</v>
      </c>
      <c r="B149" s="9" t="s">
        <v>109</v>
      </c>
      <c r="C149" s="9" t="s">
        <v>879</v>
      </c>
      <c r="D149" s="9" t="s">
        <v>880</v>
      </c>
      <c r="E149" s="9" t="s">
        <v>881</v>
      </c>
      <c r="F149" s="9" t="s">
        <v>882</v>
      </c>
      <c r="G149" s="10">
        <v>45959</v>
      </c>
      <c r="H149" s="10">
        <v>46022</v>
      </c>
      <c r="I149" s="9">
        <v>2</v>
      </c>
      <c r="J149" s="23"/>
      <c r="Z149" s="22" t="s">
        <v>145</v>
      </c>
      <c r="AA149" s="24">
        <v>3</v>
      </c>
      <c r="AB149" s="24">
        <v>3</v>
      </c>
      <c r="AC149" s="24">
        <v>2</v>
      </c>
      <c r="AD149" s="24">
        <v>8</v>
      </c>
    </row>
    <row r="150" spans="1:30" ht="207.75" customHeight="1" x14ac:dyDescent="0.4">
      <c r="A150" s="9" t="s">
        <v>883</v>
      </c>
      <c r="B150" s="25" t="s">
        <v>918</v>
      </c>
      <c r="C150" s="9" t="s">
        <v>885</v>
      </c>
      <c r="D150" s="9" t="s">
        <v>886</v>
      </c>
      <c r="E150" s="9" t="s">
        <v>884</v>
      </c>
      <c r="F150" s="9" t="s">
        <v>887</v>
      </c>
      <c r="G150" s="10">
        <v>45817</v>
      </c>
      <c r="H150" s="10">
        <v>45898</v>
      </c>
      <c r="I150" s="9">
        <v>3</v>
      </c>
      <c r="J150" s="23"/>
      <c r="Z150" s="13" t="s">
        <v>29</v>
      </c>
      <c r="AA150" s="24">
        <v>3</v>
      </c>
      <c r="AB150" s="24">
        <v>2</v>
      </c>
      <c r="AC150" s="24">
        <v>1</v>
      </c>
      <c r="AD150" s="24">
        <v>6</v>
      </c>
    </row>
    <row r="151" spans="1:30" ht="381" customHeight="1" x14ac:dyDescent="0.4">
      <c r="A151" s="9" t="s">
        <v>888</v>
      </c>
      <c r="B151" s="9" t="s">
        <v>109</v>
      </c>
      <c r="C151" s="9" t="s">
        <v>889</v>
      </c>
      <c r="D151" s="9" t="s">
        <v>890</v>
      </c>
      <c r="E151" s="9" t="s">
        <v>891</v>
      </c>
      <c r="F151" s="9" t="s">
        <v>892</v>
      </c>
      <c r="G151" s="10">
        <v>44942</v>
      </c>
      <c r="H151" s="10">
        <v>46142</v>
      </c>
      <c r="I151" s="9">
        <v>39</v>
      </c>
      <c r="J151" s="23"/>
      <c r="Z151" s="13" t="s">
        <v>29</v>
      </c>
      <c r="AA151" s="24">
        <v>3</v>
      </c>
      <c r="AB151" s="24">
        <v>1</v>
      </c>
      <c r="AC151" s="24">
        <v>3</v>
      </c>
      <c r="AD151" s="24">
        <v>7</v>
      </c>
    </row>
    <row r="152" spans="1:30" ht="318" customHeight="1" x14ac:dyDescent="0.4"/>
    <row r="153" spans="1:30" ht="270.75" customHeight="1" x14ac:dyDescent="0.4"/>
    <row r="154" spans="1:30" ht="192" customHeight="1" x14ac:dyDescent="0.4"/>
    <row r="155" spans="1:30" ht="255" customHeight="1" x14ac:dyDescent="0.4"/>
    <row r="156" spans="1:30" ht="381" customHeight="1" x14ac:dyDescent="0.4"/>
    <row r="157" spans="1:30" ht="381" customHeight="1" x14ac:dyDescent="0.4"/>
    <row r="158" spans="1:30" ht="318" customHeight="1" x14ac:dyDescent="0.4"/>
    <row r="159" spans="1:30" ht="270.75" customHeight="1" x14ac:dyDescent="0.4"/>
    <row r="160" spans="1:30" ht="97.5" customHeight="1" x14ac:dyDescent="0.4"/>
    <row r="161" ht="81.75" customHeight="1" x14ac:dyDescent="0.4"/>
    <row r="162" ht="381" customHeight="1" x14ac:dyDescent="0.4"/>
    <row r="163" ht="365.25" customHeight="1" x14ac:dyDescent="0.4"/>
    <row r="164" ht="192" customHeight="1" x14ac:dyDescent="0.4"/>
    <row r="165" ht="333.75" customHeight="1" x14ac:dyDescent="0.4"/>
    <row r="166" ht="302.25" customHeight="1" x14ac:dyDescent="0.4"/>
    <row r="167" ht="302.25" customHeight="1" x14ac:dyDescent="0.4"/>
    <row r="168" ht="408.75" customHeight="1" x14ac:dyDescent="0.4"/>
    <row r="169" ht="207.75" customHeight="1" x14ac:dyDescent="0.4"/>
    <row r="170" ht="381" customHeight="1" x14ac:dyDescent="0.4"/>
    <row r="171" ht="113.25" customHeight="1" x14ac:dyDescent="0.4"/>
    <row r="172" ht="113.25" customHeight="1" x14ac:dyDescent="0.4"/>
    <row r="173" ht="255" customHeight="1" x14ac:dyDescent="0.4"/>
    <row r="174" ht="286.5" customHeight="1" x14ac:dyDescent="0.4"/>
    <row r="175" ht="129" customHeight="1" x14ac:dyDescent="0.4"/>
    <row r="176" ht="302.25" customHeight="1" x14ac:dyDescent="0.4"/>
    <row r="177" ht="365.25" customHeight="1" x14ac:dyDescent="0.4"/>
    <row r="178" ht="365.25" customHeight="1" x14ac:dyDescent="0.4"/>
    <row r="179" ht="318" customHeight="1" x14ac:dyDescent="0.4"/>
    <row r="180" ht="66" customHeight="1" x14ac:dyDescent="0.4"/>
    <row r="181" ht="318" customHeight="1" x14ac:dyDescent="0.4"/>
    <row r="182" ht="349.5" customHeight="1" x14ac:dyDescent="0.4"/>
    <row r="183" ht="270.75" customHeight="1" x14ac:dyDescent="0.4"/>
    <row r="184" ht="192" customHeight="1" x14ac:dyDescent="0.4"/>
    <row r="185" ht="160.5" customHeight="1" x14ac:dyDescent="0.4"/>
    <row r="186" ht="318" customHeight="1" x14ac:dyDescent="0.4"/>
    <row r="187" ht="270.75" customHeight="1" x14ac:dyDescent="0.4"/>
    <row r="188" ht="192" customHeight="1" x14ac:dyDescent="0.4"/>
    <row r="189" ht="160.5" customHeight="1" x14ac:dyDescent="0.4"/>
    <row r="190" ht="255" customHeight="1" x14ac:dyDescent="0.4"/>
    <row r="191" ht="286.5" customHeight="1" x14ac:dyDescent="0.4"/>
    <row r="192" ht="176.25" customHeight="1" x14ac:dyDescent="0.4"/>
    <row r="193" ht="408.75" customHeight="1" x14ac:dyDescent="0.4"/>
    <row r="194" ht="381" customHeight="1" x14ac:dyDescent="0.4"/>
    <row r="195" ht="381" customHeight="1" x14ac:dyDescent="0.4"/>
    <row r="196" ht="318" customHeight="1" x14ac:dyDescent="0.4"/>
    <row r="197" ht="270.75" customHeight="1" x14ac:dyDescent="0.4"/>
    <row r="198" ht="381" customHeight="1" x14ac:dyDescent="0.4"/>
    <row r="199" ht="192" customHeight="1" x14ac:dyDescent="0.4"/>
    <row r="200" ht="97.5" customHeight="1" x14ac:dyDescent="0.4"/>
    <row r="201" ht="349.5" customHeight="1" x14ac:dyDescent="0.4"/>
    <row r="202" ht="408.75" customHeight="1" x14ac:dyDescent="0.4"/>
    <row r="203" ht="408.75" customHeight="1" x14ac:dyDescent="0.4"/>
    <row r="204" ht="81.75" customHeight="1" x14ac:dyDescent="0.4"/>
    <row r="205" ht="408.75" customHeight="1" x14ac:dyDescent="0.4"/>
    <row r="206" ht="381" customHeight="1" x14ac:dyDescent="0.4"/>
    <row r="207" ht="365.25" customHeight="1" x14ac:dyDescent="0.4"/>
    <row r="208" ht="160.5" customHeight="1" x14ac:dyDescent="0.4"/>
    <row r="209" ht="192" customHeight="1" x14ac:dyDescent="0.4"/>
    <row r="210" ht="333.75" customHeight="1" x14ac:dyDescent="0.4"/>
    <row r="211" ht="302.25" customHeight="1" x14ac:dyDescent="0.4"/>
    <row r="212" ht="302.25" customHeight="1" x14ac:dyDescent="0.4"/>
    <row r="213" ht="408.75" customHeight="1" x14ac:dyDescent="0.4"/>
    <row r="214" ht="302.25" customHeight="1" x14ac:dyDescent="0.4"/>
    <row r="215" ht="408.75" customHeight="1" x14ac:dyDescent="0.4"/>
    <row r="216" ht="223.5" customHeight="1" x14ac:dyDescent="0.4"/>
    <row r="217" ht="160.5" customHeight="1" x14ac:dyDescent="0.4"/>
    <row r="218" ht="176.25" customHeight="1" x14ac:dyDescent="0.4"/>
    <row r="219" ht="207.75" customHeight="1" x14ac:dyDescent="0.4"/>
    <row r="220" ht="239.25" customHeight="1" x14ac:dyDescent="0.4"/>
    <row r="221" ht="239.25" customHeight="1" x14ac:dyDescent="0.4"/>
    <row r="222" ht="318" customHeight="1" x14ac:dyDescent="0.4"/>
    <row r="223" ht="66" customHeight="1" x14ac:dyDescent="0.4"/>
    <row r="224" ht="129" customHeight="1" x14ac:dyDescent="0.4"/>
    <row r="225" ht="318" customHeight="1" x14ac:dyDescent="0.4"/>
    <row r="226" ht="270.75" customHeight="1" x14ac:dyDescent="0.4"/>
    <row r="227" ht="318" customHeight="1" x14ac:dyDescent="0.4"/>
    <row r="228" ht="381" customHeight="1" x14ac:dyDescent="0.4"/>
    <row r="229" ht="129" customHeight="1" x14ac:dyDescent="0.4"/>
    <row r="230" ht="34.5" customHeight="1" x14ac:dyDescent="0.4"/>
    <row r="231" ht="408.75" customHeight="1" x14ac:dyDescent="0.4"/>
    <row r="232" ht="408.75" customHeight="1" x14ac:dyDescent="0.4"/>
    <row r="233" ht="176.25" customHeight="1" x14ac:dyDescent="0.4"/>
    <row r="234" ht="129" customHeight="1" x14ac:dyDescent="0.4"/>
    <row r="235" ht="223.5" customHeight="1" x14ac:dyDescent="0.4"/>
    <row r="236" ht="25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row r="998" ht="15.75" customHeight="1" x14ac:dyDescent="0.4"/>
    <row r="999" ht="15.75" customHeight="1" x14ac:dyDescent="0.4"/>
    <row r="1000" ht="15.75" customHeight="1" x14ac:dyDescent="0.4"/>
  </sheetData>
  <autoFilter ref="A1:X106" xr:uid="{00000000-0009-0000-0000-000000000000}"/>
  <mergeCells count="1">
    <mergeCell ref="A107:AD10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topLeftCell="A5" workbookViewId="0">
      <selection activeCell="C12" sqref="C12"/>
    </sheetView>
  </sheetViews>
  <sheetFormatPr baseColWidth="10" defaultColWidth="11.25" defaultRowHeight="15" customHeight="1" x14ac:dyDescent="0.4"/>
  <cols>
    <col min="1" max="1" width="71.5" customWidth="1"/>
    <col min="2" max="2" width="40" customWidth="1"/>
    <col min="3" max="3" width="34" customWidth="1"/>
    <col min="4" max="5" width="42" customWidth="1"/>
    <col min="6" max="6" width="8.6640625" customWidth="1"/>
  </cols>
  <sheetData>
    <row r="1" spans="1:5" ht="36" customHeight="1" x14ac:dyDescent="0.4">
      <c r="A1" s="26"/>
    </row>
    <row r="2" spans="1:5" ht="15.75" customHeight="1" x14ac:dyDescent="0.4"/>
    <row r="3" spans="1:5" ht="33.75" customHeight="1" x14ac:dyDescent="0.4">
      <c r="A3" s="27" t="s">
        <v>893</v>
      </c>
    </row>
    <row r="4" spans="1:5" ht="15.75" customHeight="1" x14ac:dyDescent="0.4">
      <c r="A4" s="28" t="s">
        <v>894</v>
      </c>
      <c r="B4" s="29" t="s">
        <v>895</v>
      </c>
      <c r="C4" s="29" t="s">
        <v>896</v>
      </c>
      <c r="D4" s="29" t="s">
        <v>897</v>
      </c>
      <c r="E4" s="29" t="s">
        <v>898</v>
      </c>
    </row>
    <row r="5" spans="1:5" ht="15.75" customHeight="1" x14ac:dyDescent="0.4">
      <c r="A5" s="28" t="s">
        <v>899</v>
      </c>
      <c r="B5" s="29" t="s">
        <v>900</v>
      </c>
      <c r="C5" s="29" t="s">
        <v>901</v>
      </c>
      <c r="D5" s="29" t="s">
        <v>902</v>
      </c>
      <c r="E5" s="29" t="s">
        <v>903</v>
      </c>
    </row>
    <row r="6" spans="1:5" ht="15.75" customHeight="1" x14ac:dyDescent="0.4">
      <c r="A6" s="28" t="s">
        <v>904</v>
      </c>
      <c r="B6" s="29" t="s">
        <v>905</v>
      </c>
      <c r="C6" s="29" t="s">
        <v>906</v>
      </c>
      <c r="D6" s="29" t="s">
        <v>907</v>
      </c>
      <c r="E6" s="29" t="s">
        <v>908</v>
      </c>
    </row>
    <row r="7" spans="1:5" ht="15.75" customHeight="1" x14ac:dyDescent="0.4"/>
    <row r="8" spans="1:5" ht="31.5" customHeight="1" x14ac:dyDescent="0.4">
      <c r="A8" s="27" t="s">
        <v>909</v>
      </c>
    </row>
    <row r="9" spans="1:5" ht="15.75" customHeight="1" x14ac:dyDescent="0.4"/>
    <row r="10" spans="1:5" ht="15.75" customHeight="1" x14ac:dyDescent="0.4">
      <c r="A10" s="30" t="s">
        <v>58</v>
      </c>
      <c r="B10" s="29" t="s">
        <v>910</v>
      </c>
      <c r="C10" s="31"/>
    </row>
    <row r="11" spans="1:5" ht="27.75" customHeight="1" x14ac:dyDescent="0.4">
      <c r="A11" s="30" t="s">
        <v>43</v>
      </c>
      <c r="B11" s="29" t="s">
        <v>911</v>
      </c>
      <c r="C11" s="31"/>
    </row>
    <row r="12" spans="1:5" ht="15.75" customHeight="1" x14ac:dyDescent="0.4">
      <c r="A12" s="30" t="s">
        <v>29</v>
      </c>
      <c r="B12" s="29" t="s">
        <v>912</v>
      </c>
      <c r="C12" s="31"/>
    </row>
    <row r="13" spans="1:5" ht="15.75" customHeight="1" x14ac:dyDescent="0.4">
      <c r="A13" s="30" t="s">
        <v>145</v>
      </c>
      <c r="B13" s="29" t="s">
        <v>913</v>
      </c>
      <c r="C13" s="31"/>
    </row>
    <row r="14" spans="1:5" ht="15.75" customHeight="1" x14ac:dyDescent="0.4"/>
    <row r="15" spans="1:5" ht="15.75" customHeight="1" x14ac:dyDescent="0.4">
      <c r="A15" s="32"/>
    </row>
    <row r="16" spans="1:5" ht="15.75" customHeight="1" x14ac:dyDescent="0.4">
      <c r="A16" s="33" t="s">
        <v>914</v>
      </c>
    </row>
    <row r="17" spans="1:1" ht="15.75" customHeight="1" x14ac:dyDescent="0.4">
      <c r="A17" s="29" t="s">
        <v>915</v>
      </c>
    </row>
    <row r="18" spans="1:1" ht="15.75" customHeight="1" x14ac:dyDescent="0.4">
      <c r="A18" s="29" t="s">
        <v>916</v>
      </c>
    </row>
    <row r="19" spans="1:1" ht="27.75" customHeight="1" x14ac:dyDescent="0.4">
      <c r="A19" s="29" t="s">
        <v>917</v>
      </c>
    </row>
    <row r="20" spans="1:1" ht="34.5" customHeight="1" x14ac:dyDescent="0.4"/>
    <row r="21" spans="1:1" ht="34.5" customHeight="1" x14ac:dyDescent="0.4"/>
    <row r="22" spans="1:1" ht="34.5" customHeight="1" x14ac:dyDescent="0.4"/>
    <row r="23" spans="1:1" ht="22.5" customHeight="1" x14ac:dyDescent="0.4">
      <c r="A23" s="34"/>
    </row>
    <row r="24" spans="1:1" ht="15.75" customHeight="1" x14ac:dyDescent="0.4"/>
    <row r="25" spans="1:1" ht="69" customHeight="1" x14ac:dyDescent="0.4">
      <c r="A25" s="35"/>
    </row>
    <row r="26" spans="1:1" ht="15.75" customHeight="1" x14ac:dyDescent="0.4"/>
    <row r="27" spans="1:1" ht="15.75" customHeight="1" x14ac:dyDescent="0.4"/>
    <row r="28" spans="1:1" ht="15.75" customHeight="1" x14ac:dyDescent="0.4"/>
    <row r="29" spans="1:1" ht="15.75" customHeight="1" x14ac:dyDescent="0.4"/>
    <row r="30" spans="1:1" ht="15.75" customHeight="1" x14ac:dyDescent="0.4"/>
    <row r="31" spans="1:1" ht="15.75" customHeight="1" x14ac:dyDescent="0.4"/>
    <row r="32" spans="1:1" ht="15.75" customHeight="1" x14ac:dyDescent="0.4"/>
    <row r="33" ht="15.75" customHeight="1" x14ac:dyDescent="0.4"/>
    <row r="34" ht="15.75" customHeight="1" x14ac:dyDescent="0.4"/>
    <row r="35" ht="15.75" customHeight="1" x14ac:dyDescent="0.4"/>
    <row r="36" ht="15.75" customHeight="1" x14ac:dyDescent="0.4"/>
    <row r="37" ht="15.75" customHeight="1" x14ac:dyDescent="0.4"/>
    <row r="38" ht="15.75" customHeight="1" x14ac:dyDescent="0.4"/>
    <row r="39" ht="15.75" customHeight="1" x14ac:dyDescent="0.4"/>
    <row r="40" ht="15.75" customHeight="1" x14ac:dyDescent="0.4"/>
    <row r="41" ht="15.75" customHeight="1" x14ac:dyDescent="0.4"/>
    <row r="42" ht="15.75" customHeight="1" x14ac:dyDescent="0.4"/>
    <row r="43" ht="15.75" customHeight="1" x14ac:dyDescent="0.4"/>
    <row r="44" ht="15.75" customHeight="1" x14ac:dyDescent="0.4"/>
    <row r="45" ht="15.75" customHeight="1" x14ac:dyDescent="0.4"/>
    <row r="46" ht="15.75" customHeight="1" x14ac:dyDescent="0.4"/>
    <row r="47" ht="15.75" customHeight="1" x14ac:dyDescent="0.4"/>
    <row r="48" ht="15.75" customHeight="1" x14ac:dyDescent="0.4"/>
    <row r="49" ht="15.75" customHeight="1" x14ac:dyDescent="0.4"/>
    <row r="50" ht="15.75" customHeight="1" x14ac:dyDescent="0.4"/>
    <row r="51" ht="15.75" customHeight="1" x14ac:dyDescent="0.4"/>
    <row r="52" ht="15.75" customHeight="1" x14ac:dyDescent="0.4"/>
    <row r="53" ht="15.75" customHeight="1" x14ac:dyDescent="0.4"/>
    <row r="54" ht="15.75" customHeight="1" x14ac:dyDescent="0.4"/>
    <row r="55" ht="15.75" customHeight="1" x14ac:dyDescent="0.4"/>
    <row r="56" ht="15.75" customHeight="1" x14ac:dyDescent="0.4"/>
    <row r="57" ht="15.75" customHeight="1" x14ac:dyDescent="0.4"/>
    <row r="58" ht="15.75" customHeight="1" x14ac:dyDescent="0.4"/>
    <row r="59" ht="15.75" customHeight="1" x14ac:dyDescent="0.4"/>
    <row r="60" ht="15.75" customHeight="1" x14ac:dyDescent="0.4"/>
    <row r="61" ht="15.75" customHeight="1" x14ac:dyDescent="0.4"/>
    <row r="62" ht="15.75" customHeight="1" x14ac:dyDescent="0.4"/>
    <row r="63" ht="15.75" customHeight="1" x14ac:dyDescent="0.4"/>
    <row r="64"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row r="998" ht="15.75" customHeight="1" x14ac:dyDescent="0.4"/>
    <row r="999" ht="15.75" customHeight="1" x14ac:dyDescent="0.4"/>
    <row r="1000" ht="15.75" customHeight="1" x14ac:dyDescent="0.4"/>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rexs IA</vt:lpstr>
      <vt:lpstr>Méthodo Indice IA</vt:lpstr>
      <vt:lpstr>'rexs IA'!DonnéesExternes_1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Adem Banni</cp:lastModifiedBy>
  <dcterms:created xsi:type="dcterms:W3CDTF">2026-07-02T14:15:38Z</dcterms:created>
  <dcterms:modified xsi:type="dcterms:W3CDTF">2026-07-08T09:01:29Z</dcterms:modified>
</cp:coreProperties>
</file>